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ЭтаКнига"/>
  <bookViews>
    <workbookView windowWidth="30720" windowHeight="13764"/>
  </bookViews>
  <sheets>
    <sheet name="Лист1" sheetId="1" r:id="rId1"/>
    <sheet name="EXCEL2.RU (2)" sheetId="6" state="veryHidden" r:id="rId2"/>
  </sheets>
  <externalReferences>
    <externalReference r:id="rId3"/>
  </externalReferences>
  <definedNames>
    <definedName name="anscount" hidden="1">2</definedName>
    <definedName name="limcount" hidden="1">2</definedName>
    <definedName name="sencount" hidden="1">4</definedName>
    <definedName name="ДеньНедели">{1,2,3,4,5,6,7}</definedName>
    <definedName name="Календарь">НомерНедели*7+ДеньНедели+[1]Лист1!$I$5-WEEKDAY([1]Лист1!$I$5,2)</definedName>
    <definedName name="НомерНедели">{0;1;2;3;4;5}</definedName>
    <definedName name="Праздники">OFFSET([1]Лист1!$G$6,,,COUNT([1]Лист1!$G$6:$G$26))</definedName>
  </definedNames>
  <calcPr calcId="144525"/>
</workbook>
</file>

<file path=xl/sharedStrings.xml><?xml version="1.0" encoding="utf-8"?>
<sst xmlns="http://schemas.openxmlformats.org/spreadsheetml/2006/main" count="14" uniqueCount="14">
  <si>
    <t>Объемы продаж филиала</t>
  </si>
  <si>
    <t>Дата</t>
  </si>
  <si>
    <t>Всего продано</t>
  </si>
  <si>
    <t>в т.ч. новые продукты</t>
  </si>
  <si>
    <t>Всего-Новые</t>
  </si>
  <si>
    <t>Действия:</t>
  </si>
  <si>
    <t>1. Введите новую строку Прогнозных продаж в таблицу, в строку 21, скопировав ее из строки 26</t>
  </si>
  <si>
    <t xml:space="preserve">2. Новые данные автоматически будут включены в таблицу и диаграмму </t>
  </si>
  <si>
    <t>2а.Удалив строки в таблице, данные на диаграмме обновятся</t>
  </si>
  <si>
    <t>3. В ячейку А6 введите новое название диаграммы</t>
  </si>
  <si>
    <t>4. Новое название автоматически будет отображено на диаграмме</t>
  </si>
  <si>
    <t>EXCEL2.RU - профессиональные приемы для всех &gt;&gt;&gt;</t>
  </si>
  <si>
    <t>Хорошая новость! Большинство задач, которые Вы хотите решить с помощью MS EXCEL – уже давно решены! 
На нашем сайте Вы найдете решения множества из наиболее часто встречающихся задач. Сайт содержит более 500 качественно оформленных статей с файлами примеров.</t>
  </si>
  <si>
    <t>Миссия нашего сайта - превратить Вашу работу в MS EXCEL в приятное времяпрепровождение и ускорить решение Ваших задач. Мы постоянно работаем над содержанием и оформлением нашего сайта и благодарим активных пользователей за поддержку и неоценимую помощь в нашей работе.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</si>
</sst>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204"/>
      <scheme val="minor"/>
    </font>
    <font>
      <sz val="12"/>
      <name val="Arial Narrow"/>
      <charset val="204"/>
    </font>
    <font>
      <sz val="20"/>
      <color theme="0"/>
      <name val="Calibri"/>
      <charset val="204"/>
      <scheme val="minor"/>
    </font>
    <font>
      <sz val="14"/>
      <color theme="2" tint="-0.749992370372631"/>
      <name val="Calibri"/>
      <charset val="204"/>
      <scheme val="minor"/>
    </font>
    <font>
      <sz val="11"/>
      <name val="Arial"/>
      <charset val="204"/>
    </font>
    <font>
      <b/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MS Sans Serif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name val="Arial"/>
      <charset val="204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theme="10"/>
      <name val="Calibri"/>
      <charset val="204"/>
    </font>
    <font>
      <sz val="8"/>
      <name val="Helv"/>
      <charset val="134"/>
    </font>
    <font>
      <sz val="11"/>
      <color rgb="FF3F3F76"/>
      <name val="Calibri"/>
      <charset val="0"/>
      <scheme val="minor"/>
    </font>
    <font>
      <u/>
      <sz val="12"/>
      <color theme="10"/>
      <name val="Arial Narrow"/>
      <charset val="204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55">
    <xf numFmtId="0" fontId="0" fillId="0" borderId="0"/>
    <xf numFmtId="0" fontId="26" fillId="0" borderId="0">
      <alignment horizontal="left"/>
    </xf>
    <xf numFmtId="0" fontId="25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4" fillId="3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1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27" borderId="1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14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/>
    <xf numFmtId="0" fontId="21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8" borderId="11" applyNumberFormat="0" applyFont="0" applyAlignment="0" applyProtection="0">
      <alignment vertical="center"/>
    </xf>
    <xf numFmtId="0" fontId="9" fillId="0" borderId="0"/>
    <xf numFmtId="0" fontId="8" fillId="6" borderId="0" applyNumberFormat="0" applyBorder="0" applyAlignment="0" applyProtection="0">
      <alignment vertical="center"/>
    </xf>
    <xf numFmtId="0" fontId="1" fillId="0" borderId="0"/>
    <xf numFmtId="0" fontId="7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7" borderId="10" applyNumberFormat="0" applyAlignment="0" applyProtection="0">
      <alignment vertical="center"/>
    </xf>
  </cellStyleXfs>
  <cellXfs count="18">
    <xf numFmtId="0" fontId="0" fillId="0" borderId="0" xfId="0"/>
    <xf numFmtId="0" fontId="1" fillId="0" borderId="0" xfId="51"/>
    <xf numFmtId="0" fontId="2" fillId="2" borderId="0" xfId="7" applyFont="1" applyFill="1" applyAlignment="1" applyProtection="1">
      <alignment horizontal="center" vertical="center"/>
    </xf>
    <xf numFmtId="0" fontId="3" fillId="3" borderId="0" xfId="51" applyFont="1" applyFill="1" applyAlignment="1">
      <alignment vertical="center" wrapText="1"/>
    </xf>
    <xf numFmtId="0" fontId="4" fillId="4" borderId="0" xfId="0" applyFont="1" applyFill="1" applyAlignment="1"/>
    <xf numFmtId="0" fontId="0" fillId="4" borderId="0" xfId="0" applyFill="1"/>
    <xf numFmtId="0" fontId="4" fillId="0" borderId="0" xfId="0" applyFont="1" applyAlignme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Fill="1" applyBorder="1"/>
    <xf numFmtId="58" fontId="6" fillId="0" borderId="4" xfId="0" applyNumberFormat="1" applyFont="1" applyBorder="1"/>
    <xf numFmtId="0" fontId="0" fillId="0" borderId="5" xfId="0" applyBorder="1"/>
    <xf numFmtId="0" fontId="0" fillId="0" borderId="6" xfId="0" applyBorder="1"/>
    <xf numFmtId="58" fontId="6" fillId="0" borderId="7" xfId="0" applyNumberFormat="1" applyFont="1" applyBorder="1"/>
    <xf numFmtId="0" fontId="0" fillId="0" borderId="8" xfId="0" applyBorder="1"/>
    <xf numFmtId="0" fontId="0" fillId="0" borderId="9" xfId="0" applyBorder="1"/>
    <xf numFmtId="58" fontId="0" fillId="0" borderId="0" xfId="0" applyNumberFormat="1"/>
  </cellXfs>
  <cellStyles count="55">
    <cellStyle name="Обычный" xfId="0" builtinId="0"/>
    <cellStyle name="Обычный 3" xfId="1"/>
    <cellStyle name="Гиперссылка 3" xfId="2"/>
    <cellStyle name="Гиперссылка 2" xfId="3"/>
    <cellStyle name="40% — Акцент6" xfId="4" builtinId="51"/>
    <cellStyle name="Акцент4" xfId="5" builtinId="41"/>
    <cellStyle name="20% — Акцент6" xfId="6" builtinId="50"/>
    <cellStyle name="Гиперссылка" xfId="7" builtinId="8"/>
    <cellStyle name="40% — Акцент5" xfId="8" builtinId="47"/>
    <cellStyle name="Акцент3" xfId="9" builtinId="37"/>
    <cellStyle name="20% — Акцент5" xfId="10" builtinId="46"/>
    <cellStyle name="Акцент2" xfId="11" builtinId="33"/>
    <cellStyle name="20% — Акцент4" xfId="12" builtinId="42"/>
    <cellStyle name="Заголовок 2" xfId="13" builtinId="17"/>
    <cellStyle name="60% — Акцент3" xfId="14" builtinId="40"/>
    <cellStyle name="Акцент1" xfId="15" builtinId="29"/>
    <cellStyle name="20% — Акцент3" xfId="16" builtinId="38"/>
    <cellStyle name="Заголовок 1" xfId="17" builtinId="16"/>
    <cellStyle name="Денежный" xfId="18" builtinId="4"/>
    <cellStyle name="60% — Акцент2" xfId="19" builtinId="36"/>
    <cellStyle name="Ввод" xfId="20" builtinId="20"/>
    <cellStyle name="Акцент6" xfId="21" builtinId="49"/>
    <cellStyle name="Процент" xfId="22" builtinId="5"/>
    <cellStyle name="40% — Акцент2" xfId="23" builtinId="35"/>
    <cellStyle name="20% — Акцент2" xfId="24" builtinId="34"/>
    <cellStyle name="Запятая" xfId="25" builtinId="3"/>
    <cellStyle name="Акцент5" xfId="26" builtinId="45"/>
    <cellStyle name="Нейтральный" xfId="27" builtinId="28"/>
    <cellStyle name="40% — Акцент1" xfId="28" builtinId="31"/>
    <cellStyle name="20% — Акцент1" xfId="29" builtinId="30"/>
    <cellStyle name="Открывавшаяся гиперссылка" xfId="30" builtinId="9"/>
    <cellStyle name="Связанная ячейка" xfId="31" builtinId="24"/>
    <cellStyle name="Проверить ячейку" xfId="32" builtinId="23"/>
    <cellStyle name="60% — Акцент5" xfId="33" builtinId="48"/>
    <cellStyle name="Заголовок 4" xfId="34" builtinId="19"/>
    <cellStyle name="Заголовок 3" xfId="35" builtinId="18"/>
    <cellStyle name="60% — Акцент4" xfId="36" builtinId="44"/>
    <cellStyle name="Плохой" xfId="37" builtinId="27"/>
    <cellStyle name="Вычисление" xfId="38" builtinId="22"/>
    <cellStyle name="60% — Акцент6" xfId="39" builtinId="52"/>
    <cellStyle name="Денежный [0]" xfId="40" builtinId="7"/>
    <cellStyle name="Пояснительный текст" xfId="41" builtinId="53"/>
    <cellStyle name="40% — Акцент3" xfId="42" builtinId="39"/>
    <cellStyle name="Заголовок" xfId="43" builtinId="15"/>
    <cellStyle name="Запятая [0]" xfId="44" builtinId="6"/>
    <cellStyle name="Currency_TapePivot" xfId="45"/>
    <cellStyle name="Итого" xfId="46" builtinId="25"/>
    <cellStyle name="Предупреждающий текст" xfId="47" builtinId="11"/>
    <cellStyle name="Примечание" xfId="48" builtinId="10"/>
    <cellStyle name="Normal_ALLOC1" xfId="49"/>
    <cellStyle name="60% — Акцент1" xfId="50" builtinId="32"/>
    <cellStyle name="Обычный 2" xfId="51"/>
    <cellStyle name="Хороший" xfId="52" builtinId="26"/>
    <cellStyle name="40% — Акцент4" xfId="53" builtinId="43"/>
    <cellStyle name="Вывод" xfId="54" builtinId="21"/>
  </cellStyles>
  <dxfs count="4">
    <dxf>
      <font>
        <name val="Calibri"/>
        <scheme val="none"/>
        <b val="0"/>
        <i val="0"/>
        <strike val="0"/>
        <u val="none"/>
        <sz val="11"/>
        <color auto="1"/>
      </font>
      <numFmt numFmtId="178" formatCode="dd/mm/yyyy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00FFC000"/>
      <color rgb="0000B150"/>
      <color rgb="0050C10F"/>
      <color rgb="00B5EB7C"/>
      <color rgb="00004EC4"/>
      <color rgb="0080A6E2"/>
      <color rgb="00FFEBB8"/>
      <color rgb="00FFFFFF"/>
      <color rgb="009BB3C6"/>
      <color rgb="00E9E1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Лист1!$A$3</c:f>
          <c:strCache>
            <c:ptCount val="1"/>
            <c:pt idx="0">
              <c:v>Объемы продаж филиала</c:v>
            </c:pt>
          </c:strCache>
        </c:strRef>
      </c:tx>
      <c:layout>
        <c:manualLayout>
          <c:xMode val="edge"/>
          <c:yMode val="edge"/>
          <c:x val="0.0254582239720035"/>
          <c:y val="0.022598870056497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98571741032371"/>
          <c:y val="0.287545084261728"/>
          <c:w val="0.870872703412074"/>
          <c:h val="0.590116440924336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Лист1!$B$5</c:f>
              <c:strCache>
                <c:ptCount val="1"/>
                <c:pt idx="0">
                  <c:v>Всего продано</c:v>
                </c:pt>
              </c:strCache>
            </c:strRef>
          </c:tx>
          <c:spPr>
            <a:solidFill>
              <a:srgbClr val="00B150"/>
            </a:solidFill>
          </c:spPr>
          <c:invertIfNegative val="0"/>
          <c:dLbls>
            <c:delete val="1"/>
          </c:dLbls>
          <c:cat>
            <c:numRef>
              <c:f>Лист1!$A$6:$A$18</c:f>
              <c:numCache>
                <c:formatCode>m/d/yyyy</c:formatCode>
                <c:ptCount val="13"/>
                <c:pt idx="0" c:formatCode="m/d/yyyy">
                  <c:v>37987</c:v>
                </c:pt>
                <c:pt idx="1" c:formatCode="m/d/yyyy">
                  <c:v>38353</c:v>
                </c:pt>
                <c:pt idx="2" c:formatCode="m/d/yyyy">
                  <c:v>38718</c:v>
                </c:pt>
                <c:pt idx="3" c:formatCode="m/d/yyyy">
                  <c:v>39083</c:v>
                </c:pt>
                <c:pt idx="4" c:formatCode="m/d/yyyy">
                  <c:v>39448</c:v>
                </c:pt>
                <c:pt idx="5" c:formatCode="m/d/yyyy">
                  <c:v>39814</c:v>
                </c:pt>
                <c:pt idx="6" c:formatCode="m/d/yyyy">
                  <c:v>40179</c:v>
                </c:pt>
                <c:pt idx="7" c:formatCode="m/d/yyyy">
                  <c:v>40544</c:v>
                </c:pt>
                <c:pt idx="8" c:formatCode="m/d/yyyy">
                  <c:v>40909</c:v>
                </c:pt>
                <c:pt idx="9" c:formatCode="m/d/yyyy">
                  <c:v>41275</c:v>
                </c:pt>
                <c:pt idx="10" c:formatCode="m/d/yyyy">
                  <c:v>41640</c:v>
                </c:pt>
                <c:pt idx="11" c:formatCode="m/d/yyyy">
                  <c:v>42005</c:v>
                </c:pt>
              </c:numCache>
            </c:numRef>
          </c:cat>
          <c:val>
            <c:numRef>
              <c:f>Лист1!$B$6:$B$18</c:f>
              <c:numCache>
                <c:formatCode>General</c:formatCode>
                <c:ptCount val="13"/>
                <c:pt idx="0">
                  <c:v>149</c:v>
                </c:pt>
                <c:pt idx="1">
                  <c:v>152</c:v>
                </c:pt>
                <c:pt idx="2">
                  <c:v>165</c:v>
                </c:pt>
                <c:pt idx="3">
                  <c:v>166</c:v>
                </c:pt>
                <c:pt idx="4">
                  <c:v>161</c:v>
                </c:pt>
                <c:pt idx="5">
                  <c:v>160</c:v>
                </c:pt>
                <c:pt idx="6">
                  <c:v>158</c:v>
                </c:pt>
                <c:pt idx="7">
                  <c:v>155</c:v>
                </c:pt>
                <c:pt idx="8">
                  <c:v>140</c:v>
                </c:pt>
                <c:pt idx="9">
                  <c:v>200</c:v>
                </c:pt>
                <c:pt idx="10">
                  <c:v>200</c:v>
                </c:pt>
                <c:pt idx="11">
                  <c:v>180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overlap val="2"/>
        <c:axId val="138153984"/>
        <c:axId val="138155904"/>
      </c:barChart>
      <c:barChart>
        <c:barDir val="col"/>
        <c:grouping val="stacked"/>
        <c:varyColors val="0"/>
        <c:ser>
          <c:idx val="1"/>
          <c:order val="0"/>
          <c:tx>
            <c:strRef>
              <c:f>Лист1!$C$5</c:f>
              <c:strCache>
                <c:ptCount val="1"/>
                <c:pt idx="0">
                  <c:v>в т.ч. новые продукты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elete val="1"/>
          </c:dLbls>
          <c:cat>
            <c:numRef>
              <c:f>Лист1!$A$6:$A$18</c:f>
              <c:numCache>
                <c:formatCode>m/d/yyyy</c:formatCode>
                <c:ptCount val="13"/>
                <c:pt idx="0" c:formatCode="m/d/yyyy">
                  <c:v>37987</c:v>
                </c:pt>
                <c:pt idx="1" c:formatCode="m/d/yyyy">
                  <c:v>38353</c:v>
                </c:pt>
                <c:pt idx="2" c:formatCode="m/d/yyyy">
                  <c:v>38718</c:v>
                </c:pt>
                <c:pt idx="3" c:formatCode="m/d/yyyy">
                  <c:v>39083</c:v>
                </c:pt>
                <c:pt idx="4" c:formatCode="m/d/yyyy">
                  <c:v>39448</c:v>
                </c:pt>
                <c:pt idx="5" c:formatCode="m/d/yyyy">
                  <c:v>39814</c:v>
                </c:pt>
                <c:pt idx="6" c:formatCode="m/d/yyyy">
                  <c:v>40179</c:v>
                </c:pt>
                <c:pt idx="7" c:formatCode="m/d/yyyy">
                  <c:v>40544</c:v>
                </c:pt>
                <c:pt idx="8" c:formatCode="m/d/yyyy">
                  <c:v>40909</c:v>
                </c:pt>
                <c:pt idx="9" c:formatCode="m/d/yyyy">
                  <c:v>41275</c:v>
                </c:pt>
                <c:pt idx="10" c:formatCode="m/d/yyyy">
                  <c:v>41640</c:v>
                </c:pt>
                <c:pt idx="11" c:formatCode="m/d/yyyy">
                  <c:v>42005</c:v>
                </c:pt>
              </c:numCache>
            </c:numRef>
          </c:cat>
          <c:val>
            <c:numRef>
              <c:f>Лист1!$C$6:$C$18</c:f>
              <c:numCache>
                <c:formatCode>General</c:formatCode>
                <c:ptCount val="13"/>
                <c:pt idx="0">
                  <c:v>29.8</c:v>
                </c:pt>
                <c:pt idx="1">
                  <c:v>30.4</c:v>
                </c:pt>
                <c:pt idx="2">
                  <c:v>33</c:v>
                </c:pt>
                <c:pt idx="3">
                  <c:v>33.2</c:v>
                </c:pt>
                <c:pt idx="4">
                  <c:v>32.2</c:v>
                </c:pt>
                <c:pt idx="5">
                  <c:v>32</c:v>
                </c:pt>
                <c:pt idx="6">
                  <c:v>31.6</c:v>
                </c:pt>
                <c:pt idx="7">
                  <c:v>31</c:v>
                </c:pt>
                <c:pt idx="8">
                  <c:v>28</c:v>
                </c:pt>
                <c:pt idx="9">
                  <c:v>100</c:v>
                </c:pt>
                <c:pt idx="10">
                  <c:v>89</c:v>
                </c:pt>
                <c:pt idx="11">
                  <c:v>160</c:v>
                </c:pt>
              </c:numCache>
            </c:numRef>
          </c:val>
        </c:ser>
        <c:ser>
          <c:idx val="2"/>
          <c:order val="2"/>
          <c:tx>
            <c:strRef>
              <c:f>Лист1!$D$5</c:f>
              <c:strCache>
                <c:ptCount val="1"/>
                <c:pt idx="0">
                  <c:v>Всего-Новые</c:v>
                </c:pt>
              </c:strCache>
            </c:strRef>
          </c:tx>
          <c:spPr>
            <a:noFill/>
          </c:spPr>
          <c:invertIfNegative val="0"/>
          <c:dLbls>
            <c:delete val="1"/>
          </c:dLbls>
          <c:val>
            <c:numRef>
              <c:f>Лист1!$D$6:$D$18</c:f>
              <c:numCache>
                <c:formatCode>General</c:formatCode>
                <c:ptCount val="13"/>
                <c:pt idx="0">
                  <c:v>119.2</c:v>
                </c:pt>
                <c:pt idx="1">
                  <c:v>121.6</c:v>
                </c:pt>
                <c:pt idx="2">
                  <c:v>132</c:v>
                </c:pt>
                <c:pt idx="3">
                  <c:v>132.8</c:v>
                </c:pt>
                <c:pt idx="4">
                  <c:v>128.8</c:v>
                </c:pt>
                <c:pt idx="5">
                  <c:v>128</c:v>
                </c:pt>
                <c:pt idx="6">
                  <c:v>126.4</c:v>
                </c:pt>
                <c:pt idx="7">
                  <c:v>124</c:v>
                </c:pt>
                <c:pt idx="8">
                  <c:v>112</c:v>
                </c:pt>
                <c:pt idx="9">
                  <c:v>100</c:v>
                </c:pt>
                <c:pt idx="10">
                  <c:v>111</c:v>
                </c:pt>
                <c:pt idx="1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1"/>
        <c:overlap val="100"/>
        <c:axId val="138222976"/>
        <c:axId val="138221440"/>
      </c:barChart>
      <c:dateAx>
        <c:axId val="1381539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млн.</a:t>
                </a:r>
                <a:r>
                  <a:rPr lang="ru-RU" sz="1100" baseline="0"/>
                  <a:t> рублей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821843005587883"/>
              <c:y val="0.959356841559057"/>
            </c:manualLayout>
          </c:layout>
          <c:overlay val="0"/>
        </c:title>
        <c:numFmt formatCode="\'yy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155904"/>
        <c:crosses val="autoZero"/>
        <c:auto val="1"/>
        <c:lblOffset val="100"/>
        <c:baseTimeUnit val="years"/>
      </c:dateAx>
      <c:valAx>
        <c:axId val="1381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153984"/>
        <c:crosses val="autoZero"/>
        <c:crossBetween val="between"/>
      </c:valAx>
      <c:dateAx>
        <c:axId val="138222976"/>
        <c:scaling>
          <c:orientation val="minMax"/>
        </c:scaling>
        <c:delete val="1"/>
        <c:axPos val="b"/>
        <c:numFmt formatCode="м/д/гггг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221440"/>
        <c:crosses val="autoZero"/>
        <c:auto val="1"/>
        <c:lblOffset val="100"/>
        <c:baseTimeUnit val="years"/>
      </c:dateAx>
      <c:valAx>
        <c:axId val="1382214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222976"/>
        <c:crosses val="max"/>
        <c:crossBetween val="between"/>
      </c:valAx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"/>
          <c:y val="0.149449666301518"/>
          <c:w val="0.391880324519375"/>
          <c:h val="0.0997764695432936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ru-RU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466724</xdr:colOff>
      <xdr:row>3</xdr:row>
      <xdr:rowOff>38099</xdr:rowOff>
    </xdr:from>
    <xdr:to>
      <xdr:col>16</xdr:col>
      <xdr:colOff>38099</xdr:colOff>
      <xdr:row>30</xdr:row>
      <xdr:rowOff>85725</xdr:rowOff>
    </xdr:to>
    <xdr:graphicFrame>
      <xdr:nvGraphicFramePr>
        <xdr:cNvPr id="3" name="Диаграмма 2"/>
        <xdr:cNvGraphicFramePr/>
      </xdr:nvGraphicFramePr>
      <xdr:xfrm>
        <a:off x="6376035" y="563245"/>
        <a:ext cx="7115175" cy="478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&#1063;&#1048;&#1057;&#1058;&#1056;&#1040;&#1041;&#1044;&#1053;&#104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excel2.ru"/>
      <sheetName val="excel2.ru (2)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id="1" name="Таблица1" displayName="Таблица1" ref="A5:D17" totalsRowShown="0">
  <autoFilter ref="A5:D17"/>
  <tableColumns count="4">
    <tableColumn id="1" name="Дата" dataDxfId="0"/>
    <tableColumn id="2" name="Всего продано" dataDxfId="1"/>
    <tableColumn id="3" name="в т.ч. новые продукты" dataDxfId="2"/>
    <tableColumn id="4" name="Всего-Новые" dataDxfId="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cel2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A1:P27"/>
  <sheetViews>
    <sheetView tabSelected="1" workbookViewId="0">
      <selection activeCell="C29" sqref="C29"/>
    </sheetView>
  </sheetViews>
  <sheetFormatPr defaultColWidth="9" defaultRowHeight="13.8"/>
  <cols>
    <col min="1" max="1" width="11.5666666666667" customWidth="1"/>
    <col min="2" max="2" width="16.5666666666667" customWidth="1"/>
    <col min="3" max="3" width="23.5666666666667" customWidth="1"/>
    <col min="4" max="4" width="16.8583333333333" customWidth="1"/>
    <col min="270" max="270" width="10" customWidth="1"/>
    <col min="351" max="351" width="8.56666666666667" customWidth="1"/>
  </cols>
  <sheetData>
    <row r="1" spans="1:16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">
      <c r="A2" s="6"/>
    </row>
    <row r="3" spans="1:1">
      <c r="A3" s="7" t="s">
        <v>0</v>
      </c>
    </row>
    <row r="5" spans="1:4">
      <c r="A5" s="8" t="s">
        <v>1</v>
      </c>
      <c r="B5" s="9" t="s">
        <v>2</v>
      </c>
      <c r="C5" s="9" t="s">
        <v>3</v>
      </c>
      <c r="D5" s="10" t="s">
        <v>4</v>
      </c>
    </row>
    <row r="6" spans="1:4">
      <c r="A6" s="11">
        <v>37987</v>
      </c>
      <c r="B6" s="12">
        <v>149</v>
      </c>
      <c r="C6" s="12">
        <v>29.8</v>
      </c>
      <c r="D6" s="13">
        <f>B6-C6</f>
        <v>119.2</v>
      </c>
    </row>
    <row r="7" spans="1:4">
      <c r="A7" s="11">
        <v>38353</v>
      </c>
      <c r="B7" s="12">
        <v>152</v>
      </c>
      <c r="C7" s="12">
        <v>30.4</v>
      </c>
      <c r="D7" s="13">
        <f t="shared" ref="D7:D17" si="0">B7-C7</f>
        <v>121.6</v>
      </c>
    </row>
    <row r="8" spans="1:4">
      <c r="A8" s="11">
        <v>38718</v>
      </c>
      <c r="B8" s="12">
        <v>165</v>
      </c>
      <c r="C8" s="12">
        <v>33</v>
      </c>
      <c r="D8" s="13">
        <f t="shared" si="0"/>
        <v>132</v>
      </c>
    </row>
    <row r="9" spans="1:4">
      <c r="A9" s="11">
        <v>39083</v>
      </c>
      <c r="B9" s="12">
        <v>166</v>
      </c>
      <c r="C9" s="12">
        <v>33.2</v>
      </c>
      <c r="D9" s="13">
        <f t="shared" si="0"/>
        <v>132.8</v>
      </c>
    </row>
    <row r="10" spans="1:4">
      <c r="A10" s="11">
        <v>39448</v>
      </c>
      <c r="B10" s="12">
        <v>161</v>
      </c>
      <c r="C10" s="12">
        <v>32.2</v>
      </c>
      <c r="D10" s="13">
        <f t="shared" si="0"/>
        <v>128.8</v>
      </c>
    </row>
    <row r="11" spans="1:4">
      <c r="A11" s="11">
        <v>39814</v>
      </c>
      <c r="B11" s="12">
        <v>160</v>
      </c>
      <c r="C11" s="12">
        <v>32</v>
      </c>
      <c r="D11" s="13">
        <f t="shared" si="0"/>
        <v>128</v>
      </c>
    </row>
    <row r="12" spans="1:4">
      <c r="A12" s="11">
        <v>40179</v>
      </c>
      <c r="B12" s="12">
        <v>158</v>
      </c>
      <c r="C12" s="12">
        <v>31.6</v>
      </c>
      <c r="D12" s="13">
        <f t="shared" si="0"/>
        <v>126.4</v>
      </c>
    </row>
    <row r="13" spans="1:4">
      <c r="A13" s="11">
        <v>40544</v>
      </c>
      <c r="B13" s="12">
        <v>155</v>
      </c>
      <c r="C13" s="12">
        <v>31</v>
      </c>
      <c r="D13" s="13">
        <f t="shared" si="0"/>
        <v>124</v>
      </c>
    </row>
    <row r="14" spans="1:4">
      <c r="A14" s="11">
        <v>40909</v>
      </c>
      <c r="B14" s="12">
        <v>140</v>
      </c>
      <c r="C14" s="12">
        <v>28</v>
      </c>
      <c r="D14" s="13">
        <f t="shared" si="0"/>
        <v>112</v>
      </c>
    </row>
    <row r="15" spans="1:4">
      <c r="A15" s="11">
        <v>41275</v>
      </c>
      <c r="B15" s="12">
        <v>200</v>
      </c>
      <c r="C15" s="12">
        <v>100</v>
      </c>
      <c r="D15" s="13">
        <f t="shared" si="0"/>
        <v>100</v>
      </c>
    </row>
    <row r="16" spans="1:4">
      <c r="A16" s="11">
        <v>41640</v>
      </c>
      <c r="B16" s="12">
        <v>200</v>
      </c>
      <c r="C16" s="12">
        <v>89</v>
      </c>
      <c r="D16" s="13">
        <f t="shared" si="0"/>
        <v>111</v>
      </c>
    </row>
    <row r="17" spans="1:4">
      <c r="A17" s="14">
        <v>42005</v>
      </c>
      <c r="B17" s="15">
        <v>180</v>
      </c>
      <c r="C17" s="15">
        <v>160</v>
      </c>
      <c r="D17" s="16">
        <f t="shared" si="0"/>
        <v>20</v>
      </c>
    </row>
    <row r="21" spans="1:1">
      <c r="A21" s="7" t="s">
        <v>5</v>
      </c>
    </row>
    <row r="22" spans="1:1">
      <c r="A22" t="s">
        <v>6</v>
      </c>
    </row>
    <row r="23" spans="1:3">
      <c r="A23" s="17">
        <v>42370</v>
      </c>
      <c r="B23">
        <v>220</v>
      </c>
      <c r="C23">
        <v>50</v>
      </c>
    </row>
    <row r="24" spans="1:1">
      <c r="A24" t="s">
        <v>7</v>
      </c>
    </row>
    <row r="25" spans="1:1">
      <c r="A25" t="s">
        <v>8</v>
      </c>
    </row>
    <row r="26" spans="1:1">
      <c r="A26" t="s">
        <v>9</v>
      </c>
    </row>
    <row r="27" spans="1:1">
      <c r="A27" t="s">
        <v>10</v>
      </c>
    </row>
  </sheetData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5">
    <tabColor theme="8" tint="-0.499984740745262"/>
  </sheetPr>
  <dimension ref="A1:G5"/>
  <sheetViews>
    <sheetView showGridLines="0" workbookViewId="0">
      <selection activeCell="A1" sqref="A1:G1"/>
    </sheetView>
  </sheetViews>
  <sheetFormatPr defaultColWidth="0" defaultRowHeight="15.75" customHeight="1" zeroHeight="1" outlineLevelRow="4" outlineLevelCol="6"/>
  <cols>
    <col min="1" max="1" width="93.425" style="1" customWidth="1"/>
    <col min="2" max="16384" width="9.14166666666667" style="1" hidden="1"/>
  </cols>
  <sheetData>
    <row r="1" ht="36.75" customHeight="1" spans="1:7">
      <c r="A1" s="2" t="s">
        <v>11</v>
      </c>
      <c r="B1" s="2"/>
      <c r="C1" s="2"/>
      <c r="D1" s="2"/>
      <c r="E1" s="2"/>
      <c r="F1" s="2"/>
      <c r="G1" s="2"/>
    </row>
    <row r="2" ht="107.25" customHeight="1" spans="1:1">
      <c r="A2" s="3" t="s">
        <v>12</v>
      </c>
    </row>
    <row r="3" ht="105" customHeight="1" spans="1:1">
      <c r="A3" s="3" t="s">
        <v>13</v>
      </c>
    </row>
    <row r="4" ht="28.5" hidden="1" customHeight="1"/>
    <row r="5" hidden="1" customHeight="1"/>
  </sheetData>
  <sheetProtection sheet="1" selectLockedCells="1" objects="1" scenarios="1"/>
  <mergeCells count="1">
    <mergeCell ref="A1:G1"/>
  </mergeCells>
  <hyperlinks>
    <hyperlink ref="A1" r:id="rId1" display="EXCEL2.RU - профессиональные приемы для всех &gt;&gt;&gt;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excel2.ru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EXCEL2.RU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yur</cp:lastModifiedBy>
  <dcterms:created xsi:type="dcterms:W3CDTF">2013-03-05T22:04:00Z</dcterms:created>
  <cp:lastPrinted>2013-12-17T16:19:00Z</cp:lastPrinted>
  <dcterms:modified xsi:type="dcterms:W3CDTF">2026-09-11T14:24:46Z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