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Математика" sheetId="1" state="visible" r:id="rId1"/>
    <sheet xmlns:r="http://schemas.openxmlformats.org/officeDocument/2006/relationships" name="02_Статистика" sheetId="2" state="visible" r:id="rId2"/>
    <sheet xmlns:r="http://schemas.openxmlformats.org/officeDocument/2006/relationships" name="03_Текст" sheetId="3" state="visible" r:id="rId3"/>
    <sheet xmlns:r="http://schemas.openxmlformats.org/officeDocument/2006/relationships" name="04_Логика" sheetId="4" state="visible" r:id="rId4"/>
    <sheet xmlns:r="http://schemas.openxmlformats.org/officeDocument/2006/relationships" name="05_Дата_время" sheetId="5" state="visible" r:id="rId5"/>
    <sheet xmlns:r="http://schemas.openxmlformats.org/officeDocument/2006/relationships" name="06_Справочные" sheetId="6" state="visible" r:id="rId6"/>
    <sheet xmlns:r="http://schemas.openxmlformats.org/officeDocument/2006/relationships" name="07_Финансы" sheetId="7" state="visible" r:id="rId7"/>
    <sheet xmlns:r="http://schemas.openxmlformats.org/officeDocument/2006/relationships" name="08_Информация" sheetId="8" state="visible" r:id="rId8"/>
    <sheet xmlns:r="http://schemas.openxmlformats.org/officeDocument/2006/relationships" name="09_Инженерия" sheetId="9" state="visible" r:id="rId9"/>
    <sheet xmlns:r="http://schemas.openxmlformats.org/officeDocument/2006/relationships" name="10_Базы_данных" sheetId="10" state="visible" r:id="rId10"/>
    <sheet xmlns:r="http://schemas.openxmlformats.org/officeDocument/2006/relationships" name="11_Массивы_365+" sheetId="11" state="visible" r:id="rId11"/>
    <sheet xmlns:r="http://schemas.openxmlformats.org/officeDocument/2006/relationships" name="12_Совместимость" sheetId="12" state="visible" r:id="rId12"/>
    <sheet xmlns:r="http://schemas.openxmlformats.org/officeDocument/2006/relationships" name="13_Веб" sheetId="13" state="visible" r:id="rId13"/>
    <sheet xmlns:r="http://schemas.openxmlformats.org/officeDocument/2006/relationships" name="14_Прочие" sheetId="14" state="visible" r:id="rId14"/>
    <sheet xmlns:r="http://schemas.openxmlformats.org/officeDocument/2006/relationships" name="00_Информация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HH:MM:SS"/>
  </numFmts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b val="1"/>
      <color rgb="002F5496"/>
    </font>
    <font>
      <b val="1"/>
      <color rgb="002F5496"/>
      <sz val="16"/>
    </font>
    <font>
      <sz val="11"/>
    </font>
    <font>
      <b val="1"/>
      <color rgb="002F5496"/>
      <sz val="13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B4C6E7"/>
        <bgColor rgb="00B4C6E7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3" fillId="0" borderId="0" pivotButton="0" quotePrefix="0" xfId="0"/>
    <xf numFmtId="0" fontId="2" fillId="0" borderId="1" pivotButton="0" quotePrefix="0" xfId="0"/>
    <xf numFmtId="0" fontId="2" fillId="0" borderId="0" pivotButton="0" quotePrefix="0" xfId="0"/>
    <xf numFmtId="164" fontId="0" fillId="5" borderId="1" applyAlignment="1" pivotButton="0" quotePrefix="0" xfId="0">
      <alignment vertical="center" wrapText="1"/>
    </xf>
    <xf numFmtId="21" fontId="0" fillId="5" borderId="1" applyAlignment="1" pivotButton="0" quotePrefix="0" xfId="0">
      <alignment vertical="center" wrapText="1"/>
    </xf>
    <xf numFmtId="165" fontId="0" fillId="0" borderId="1" pivotButton="0" quotePrefix="0" xfId="0"/>
    <xf numFmtId="166" fontId="0" fillId="0" borderId="1" pivotButton="0" quotePrefix="0" xfId="0"/>
    <xf numFmtId="0" fontId="3" fillId="0" borderId="1" pivotButton="0" quotePrefix="0" xfId="0"/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52" customWidth="1" min="3" max="3"/>
    <col width="22" customWidth="1" min="4" max="4"/>
    <col width="45" customWidth="1" min="5" max="5"/>
  </cols>
  <sheetData>
    <row r="1">
      <c r="A1" s="1" t="inlineStr">
        <is>
          <t>МАТЕМАТИКА И ТРИГОНОМЕТРИЯ</t>
        </is>
      </c>
      <c r="B1" s="2" t="n"/>
      <c r="C1" s="2" t="n"/>
      <c r="D1" s="2" t="n"/>
      <c r="E1" s="2" t="n"/>
    </row>
    <row r="2">
      <c r="A2" s="3" t="inlineStr">
        <is>
          <t>Функция</t>
        </is>
      </c>
      <c r="B2" s="3" t="inlineStr">
        <is>
          <t>Описание</t>
        </is>
      </c>
      <c r="C2" s="3" t="inlineStr">
        <is>
          <t>Формула</t>
        </is>
      </c>
      <c r="D2" s="3" t="inlineStr">
        <is>
          <t>Результат</t>
        </is>
      </c>
      <c r="E2" s="3" t="inlineStr">
        <is>
          <t>Примечания</t>
        </is>
      </c>
    </row>
    <row r="3">
      <c r="A3" s="4" t="inlineStr">
        <is>
          <t>SUM</t>
        </is>
      </c>
      <c r="B3" s="4" t="inlineStr">
        <is>
          <t>Сумма чисел</t>
        </is>
      </c>
      <c r="C3" s="5">
        <f>SUM(10,20,30,40)</f>
        <v/>
      </c>
      <c r="D3" s="6" t="n">
        <v>100</v>
      </c>
      <c r="E3" s="4" t="inlineStr">
        <is>
          <t>Складывает аргументы</t>
        </is>
      </c>
    </row>
    <row r="4">
      <c r="A4" s="4" t="inlineStr">
        <is>
          <t>SUM</t>
        </is>
      </c>
      <c r="B4" s="4" t="inlineStr">
        <is>
          <t>Сумма диапазона</t>
        </is>
      </c>
      <c r="C4" s="5">
        <f>SUM(A100:A109)</f>
        <v/>
      </c>
      <c r="D4" s="6" t="n">
        <v>550</v>
      </c>
      <c r="E4" s="4" t="inlineStr">
        <is>
          <t>10+20+...+100 = 550</t>
        </is>
      </c>
    </row>
    <row r="5">
      <c r="A5" s="4" t="inlineStr">
        <is>
          <t>SUMIF</t>
        </is>
      </c>
      <c r="B5" s="4" t="inlineStr">
        <is>
          <t>Сумма по условию</t>
        </is>
      </c>
      <c r="C5" s="5">
        <f>SUMIF(A100:A109,"&gt;50")</f>
        <v/>
      </c>
      <c r="D5" s="6" t="n">
        <v>350</v>
      </c>
      <c r="E5" s="4" t="inlineStr">
        <is>
          <t>60+70+80+90+100 = 350</t>
        </is>
      </c>
    </row>
    <row r="6">
      <c r="A6" s="4" t="inlineStr">
        <is>
          <t>SUMIFS</t>
        </is>
      </c>
      <c r="B6" s="4" t="inlineStr">
        <is>
          <t>Сумма по нескольким условиям</t>
        </is>
      </c>
      <c r="C6" s="5">
        <f>SUMIFS(A100:A109,A100:A109,"&gt;30",A100:A109,"&lt;80")</f>
        <v/>
      </c>
      <c r="D6" s="6" t="n">
        <v>210</v>
      </c>
      <c r="E6" s="4" t="inlineStr">
        <is>
          <t>40+50+60+70 = 210</t>
        </is>
      </c>
    </row>
    <row r="7">
      <c r="A7" s="4" t="inlineStr">
        <is>
          <t>SUMPRODUCT</t>
        </is>
      </c>
      <c r="B7" s="4" t="inlineStr">
        <is>
          <t>Сумма произведений</t>
        </is>
      </c>
      <c r="C7" s="5">
        <f>SUMPRODUCT(A100:A104,C100:C104)</f>
        <v/>
      </c>
      <c r="D7" s="6" t="n">
        <v>550</v>
      </c>
      <c r="E7" s="4" t="inlineStr">
        <is>
          <t>10·5+20·10+30·15+40·20+50·25 = 550</t>
        </is>
      </c>
    </row>
    <row r="8">
      <c r="A8" s="4" t="inlineStr">
        <is>
          <t>SUMSQ</t>
        </is>
      </c>
      <c r="B8" s="4" t="inlineStr">
        <is>
          <t>Сумма квадратов</t>
        </is>
      </c>
      <c r="C8" s="5">
        <f>SUMSQ(3,4)</f>
        <v/>
      </c>
      <c r="D8" s="6" t="n">
        <v>25</v>
      </c>
      <c r="E8" s="4" t="inlineStr">
        <is>
          <t>3²+4² = 9+16 = 25</t>
        </is>
      </c>
    </row>
    <row r="9">
      <c r="A9" s="4" t="inlineStr">
        <is>
          <t>SUMX2MY2</t>
        </is>
      </c>
      <c r="B9" s="4" t="inlineStr">
        <is>
          <t>Сумма разностей квадратов</t>
        </is>
      </c>
      <c r="C9" s="5">
        <f>SUMX2MY2(A100:A104,C100:C104)</f>
        <v/>
      </c>
      <c r="D9" s="6" t="n">
        <v>550</v>
      </c>
      <c r="E9" s="4" t="inlineStr">
        <is>
          <t>Σ(x²−y²)</t>
        </is>
      </c>
    </row>
    <row r="10">
      <c r="A10" s="4" t="inlineStr">
        <is>
          <t>SUMX2PY2</t>
        </is>
      </c>
      <c r="B10" s="4" t="inlineStr">
        <is>
          <t>Сумма сумм квадратов</t>
        </is>
      </c>
      <c r="C10" s="5">
        <f>SUMX2PY2(A100:A104,C100:C104)</f>
        <v/>
      </c>
      <c r="D10" s="6" t="n">
        <v>3850</v>
      </c>
      <c r="E10" s="4" t="inlineStr">
        <is>
          <t>Σ(x²+y²)</t>
        </is>
      </c>
    </row>
    <row r="11">
      <c r="A11" s="4" t="inlineStr">
        <is>
          <t>SUMXMY2</t>
        </is>
      </c>
      <c r="B11" s="4" t="inlineStr">
        <is>
          <t>Сумма квадратов разностей</t>
        </is>
      </c>
      <c r="C11" s="5">
        <f>SUMXMY2(A100:A104,C100:C104)</f>
        <v/>
      </c>
      <c r="D11" s="6" t="n">
        <v>750</v>
      </c>
      <c r="E11" s="4" t="inlineStr">
        <is>
          <t>Σ(x−y)²</t>
        </is>
      </c>
    </row>
    <row r="12">
      <c r="A12" s="4" t="inlineStr">
        <is>
          <t>AVERAGE</t>
        </is>
      </c>
      <c r="B12" s="4" t="inlineStr">
        <is>
          <t>Среднее арифметическое</t>
        </is>
      </c>
      <c r="C12" s="5">
        <f>AVERAGE(10,20,30,40)</f>
        <v/>
      </c>
      <c r="D12" s="6" t="n">
        <v>25</v>
      </c>
      <c r="E12" s="4" t="inlineStr">
        <is>
          <t>(10+20+30+40)/4</t>
        </is>
      </c>
    </row>
    <row r="13">
      <c r="A13" s="4" t="inlineStr">
        <is>
          <t>AVERAGE</t>
        </is>
      </c>
      <c r="B13" s="4" t="inlineStr">
        <is>
          <t>Среднее диапазона</t>
        </is>
      </c>
      <c r="C13" s="5">
        <f>AVERAGE(A100:A109)</f>
        <v/>
      </c>
      <c r="D13" s="6" t="n">
        <v>55</v>
      </c>
      <c r="E13" s="4" t="inlineStr">
        <is>
          <t>550/10 = 55</t>
        </is>
      </c>
    </row>
    <row r="14">
      <c r="A14" s="4" t="inlineStr">
        <is>
          <t>AVERAGEA</t>
        </is>
      </c>
      <c r="B14" s="4" t="inlineStr">
        <is>
          <t>Среднее (включая текст)</t>
        </is>
      </c>
      <c r="C14" s="5">
        <f>AVERAGEA(10,20,"текст",40)</f>
        <v/>
      </c>
      <c r="D14" s="6" t="n">
        <v>17.5</v>
      </c>
      <c r="E14" s="4" t="inlineStr">
        <is>
          <t>Текст = 0; (10+20+0+40)/4</t>
        </is>
      </c>
    </row>
    <row r="15">
      <c r="A15" s="4" t="inlineStr">
        <is>
          <t>AVERAGEIF</t>
        </is>
      </c>
      <c r="B15" s="4" t="inlineStr">
        <is>
          <t>Среднее по условию</t>
        </is>
      </c>
      <c r="C15" s="5">
        <f>AVERAGEIF(A100:A109,"&gt;50")</f>
        <v/>
      </c>
      <c r="D15" s="6" t="n">
        <v>80</v>
      </c>
      <c r="E15" s="4" t="inlineStr">
        <is>
          <t>(60+70+80+90+100)/5 = 80</t>
        </is>
      </c>
    </row>
    <row r="16">
      <c r="A16" s="4" t="inlineStr">
        <is>
          <t>AVERAGEIFS</t>
        </is>
      </c>
      <c r="B16" s="4" t="inlineStr">
        <is>
          <t>Среднее по условиям</t>
        </is>
      </c>
      <c r="C16" s="5">
        <f>AVERAGEIFS(A100:A109,A100:A109,"&gt;30",A100:A109,"&lt;80")</f>
        <v/>
      </c>
      <c r="D16" s="6" t="n">
        <v>52.5</v>
      </c>
      <c r="E16" s="4" t="inlineStr">
        <is>
          <t>(40+50+60+70)/4</t>
        </is>
      </c>
    </row>
    <row r="17">
      <c r="A17" s="4" t="inlineStr">
        <is>
          <t>MAX</t>
        </is>
      </c>
      <c r="B17" s="4" t="inlineStr">
        <is>
          <t>Максимум</t>
        </is>
      </c>
      <c r="C17" s="5">
        <f>MAX(10,55,23,89,12)</f>
        <v/>
      </c>
      <c r="D17" s="6" t="n">
        <v>89</v>
      </c>
      <c r="E17" s="4" t="inlineStr">
        <is>
          <t>Наибольшее число</t>
        </is>
      </c>
    </row>
    <row r="18">
      <c r="A18" s="4" t="inlineStr">
        <is>
          <t>MAXA</t>
        </is>
      </c>
      <c r="B18" s="4" t="inlineStr">
        <is>
          <t>Максимум (включая текст)</t>
        </is>
      </c>
      <c r="C18" s="5">
        <f>MAXA(10,55,"текст",89)</f>
        <v/>
      </c>
      <c r="D18" s="6" t="n">
        <v>89</v>
      </c>
      <c r="E18" s="4" t="inlineStr">
        <is>
          <t>Текст = 0</t>
        </is>
      </c>
    </row>
    <row r="19">
      <c r="A19" s="4" t="inlineStr">
        <is>
          <t>MIN</t>
        </is>
      </c>
      <c r="B19" s="4" t="inlineStr">
        <is>
          <t>Минимум</t>
        </is>
      </c>
      <c r="C19" s="5">
        <f>MIN(10,55,23,89,12)</f>
        <v/>
      </c>
      <c r="D19" s="6" t="n">
        <v>10</v>
      </c>
      <c r="E19" s="4" t="inlineStr">
        <is>
          <t>Наименьшее число</t>
        </is>
      </c>
    </row>
    <row r="20">
      <c r="A20" s="4" t="inlineStr">
        <is>
          <t>MINA</t>
        </is>
      </c>
      <c r="B20" s="4" t="inlineStr">
        <is>
          <t>Минимум (включая текст)</t>
        </is>
      </c>
      <c r="C20" s="5">
        <f>MINA(10,55,"текст",89)</f>
        <v/>
      </c>
      <c r="D20" s="6" t="n">
        <v>0</v>
      </c>
      <c r="E20" s="4" t="inlineStr">
        <is>
          <t>Текст = 0</t>
        </is>
      </c>
    </row>
    <row r="21">
      <c r="A21" s="4" t="inlineStr">
        <is>
          <t>MEDIAN</t>
        </is>
      </c>
      <c r="B21" s="4" t="inlineStr">
        <is>
          <t>Медиана чисел</t>
        </is>
      </c>
      <c r="C21" s="5">
        <f>MEDIAN(10,20,30,40,50)</f>
        <v/>
      </c>
      <c r="D21" s="6" t="n">
        <v>30</v>
      </c>
      <c r="E21" s="4" t="inlineStr">
        <is>
          <t>Среднее значение ряда</t>
        </is>
      </c>
    </row>
    <row r="22">
      <c r="A22" s="4" t="inlineStr">
        <is>
          <t>MODE.SNGL</t>
        </is>
      </c>
      <c r="B22" s="4" t="inlineStr">
        <is>
          <t>Мода (одна)</t>
        </is>
      </c>
      <c r="C22" s="5">
        <f>MODE.SNGL(10,20,20,30,40)</f>
        <v/>
      </c>
      <c r="D22" s="6" t="n">
        <v>20</v>
      </c>
      <c r="E22" s="4" t="inlineStr">
        <is>
          <t>Наиболее частое</t>
        </is>
      </c>
    </row>
    <row r="23">
      <c r="A23" s="4" t="inlineStr">
        <is>
          <t>MODE.MULT</t>
        </is>
      </c>
      <c r="B23" s="4" t="inlineStr">
        <is>
          <t>Мода (несколько)</t>
        </is>
      </c>
      <c r="C23" s="5">
        <f>MODE.MULT(10,20,20,30,30)</f>
        <v/>
      </c>
      <c r="D23" s="6" t="inlineStr">
        <is>
          <t>20, 30</t>
        </is>
      </c>
      <c r="E23" s="4" t="inlineStr">
        <is>
          <t>Массив мод</t>
        </is>
      </c>
    </row>
    <row r="24">
      <c r="A24" s="4" t="inlineStr">
        <is>
          <t>ROUND</t>
        </is>
      </c>
      <c r="B24" s="4" t="inlineStr">
        <is>
          <t>Округление</t>
        </is>
      </c>
      <c r="C24" s="5">
        <f>ROUND(3.14159,2)</f>
        <v/>
      </c>
      <c r="D24" s="6" t="n">
        <v>3.14</v>
      </c>
      <c r="E24" s="4" t="inlineStr">
        <is>
          <t>До 2 знаков</t>
        </is>
      </c>
    </row>
    <row r="25">
      <c r="A25" s="4" t="inlineStr">
        <is>
          <t>ROUNDUP</t>
        </is>
      </c>
      <c r="B25" s="4" t="inlineStr">
        <is>
          <t>Округление вверх</t>
        </is>
      </c>
      <c r="C25" s="5">
        <f>ROUNDUP(3.14159,2)</f>
        <v/>
      </c>
      <c r="D25" s="6" t="n">
        <v>3.15</v>
      </c>
      <c r="E25" s="4" t="inlineStr">
        <is>
          <t>Всегда в большую сторону</t>
        </is>
      </c>
    </row>
    <row r="26">
      <c r="A26" s="4" t="inlineStr">
        <is>
          <t>ROUNDDOWN</t>
        </is>
      </c>
      <c r="B26" s="4" t="inlineStr">
        <is>
          <t>Округление вниз</t>
        </is>
      </c>
      <c r="C26" s="5">
        <f>ROUNDDOWN(3.14159,2)</f>
        <v/>
      </c>
      <c r="D26" s="6" t="n">
        <v>3.14</v>
      </c>
      <c r="E26" s="4" t="inlineStr">
        <is>
          <t>Всегда в меньшую сторону</t>
        </is>
      </c>
    </row>
    <row r="27">
      <c r="A27" s="4" t="inlineStr">
        <is>
          <t>MROUND</t>
        </is>
      </c>
      <c r="B27" s="4" t="inlineStr">
        <is>
          <t>Округление до кратного</t>
        </is>
      </c>
      <c r="C27" s="5">
        <f>MROUND(17,5)</f>
        <v/>
      </c>
      <c r="D27" s="6" t="n">
        <v>15</v>
      </c>
      <c r="E27" s="4" t="inlineStr">
        <is>
          <t>Ближайшее кратное 5</t>
        </is>
      </c>
    </row>
    <row r="28">
      <c r="A28" s="4" t="inlineStr">
        <is>
          <t>CEILING</t>
        </is>
      </c>
      <c r="B28" s="4" t="inlineStr">
        <is>
          <t>Округление вверх до кратного</t>
        </is>
      </c>
      <c r="C28" s="5">
        <f>CEILING(17,5)</f>
        <v/>
      </c>
      <c r="D28" s="6" t="n">
        <v>20</v>
      </c>
      <c r="E28" s="4" t="inlineStr">
        <is>
          <t>Вверх до кратного 5</t>
        </is>
      </c>
    </row>
    <row r="29">
      <c r="A29" s="4" t="inlineStr">
        <is>
          <t>CEILING.MATH</t>
        </is>
      </c>
      <c r="B29" s="4" t="inlineStr">
        <is>
          <t>Округление вверх (новое)</t>
        </is>
      </c>
      <c r="C29" s="5">
        <f>CEILING.MATH(17,5)</f>
        <v/>
      </c>
      <c r="D29" s="6" t="n">
        <v>20</v>
      </c>
      <c r="E29" s="4" t="inlineStr">
        <is>
          <t>Excel 2013+</t>
        </is>
      </c>
    </row>
    <row r="30">
      <c r="A30" s="4" t="inlineStr">
        <is>
          <t>FLOOR</t>
        </is>
      </c>
      <c r="B30" s="4" t="inlineStr">
        <is>
          <t>Округление вниз до кратного</t>
        </is>
      </c>
      <c r="C30" s="5">
        <f>FLOOR(17,5)</f>
        <v/>
      </c>
      <c r="D30" s="6" t="n">
        <v>15</v>
      </c>
      <c r="E30" s="4" t="inlineStr">
        <is>
          <t>Вниз до кратного 5</t>
        </is>
      </c>
    </row>
    <row r="31">
      <c r="A31" s="4" t="inlineStr">
        <is>
          <t>FLOOR.MATH</t>
        </is>
      </c>
      <c r="B31" s="4" t="inlineStr">
        <is>
          <t>Округление вниз (новое)</t>
        </is>
      </c>
      <c r="C31" s="5">
        <f>FLOOR.MATH(17,5)</f>
        <v/>
      </c>
      <c r="D31" s="6" t="n">
        <v>15</v>
      </c>
      <c r="E31" s="4" t="inlineStr">
        <is>
          <t>Excel 2013+</t>
        </is>
      </c>
    </row>
    <row r="32">
      <c r="A32" s="4" t="inlineStr">
        <is>
          <t>INT</t>
        </is>
      </c>
      <c r="B32" s="4" t="inlineStr">
        <is>
          <t>Целая часть</t>
        </is>
      </c>
      <c r="C32" s="5">
        <f>INT(3.99)</f>
        <v/>
      </c>
      <c r="D32" s="6" t="n">
        <v>3</v>
      </c>
      <c r="E32" s="4" t="inlineStr">
        <is>
          <t>Отбрасывает дробную часть</t>
        </is>
      </c>
    </row>
    <row r="33">
      <c r="A33" s="4" t="inlineStr">
        <is>
          <t>TRUNC</t>
        </is>
      </c>
      <c r="B33" s="4" t="inlineStr">
        <is>
          <t>Усечение</t>
        </is>
      </c>
      <c r="C33" s="5">
        <f>TRUNC(3.99)</f>
        <v/>
      </c>
      <c r="D33" s="6" t="n">
        <v>3</v>
      </c>
      <c r="E33" s="4" t="inlineStr">
        <is>
          <t>То же, что INT для положительных</t>
        </is>
      </c>
    </row>
    <row r="34">
      <c r="A34" s="4" t="inlineStr">
        <is>
          <t>TRUNC</t>
        </is>
      </c>
      <c r="B34" s="4" t="inlineStr">
        <is>
          <t>Усечение с разрядностью</t>
        </is>
      </c>
      <c r="C34" s="5">
        <f>TRUNC(3.999,2)</f>
        <v/>
      </c>
      <c r="D34" s="6" t="n">
        <v>3.99</v>
      </c>
      <c r="E34" s="4" t="inlineStr">
        <is>
          <t>До 2 знаков</t>
        </is>
      </c>
    </row>
    <row r="35">
      <c r="A35" s="4" t="inlineStr">
        <is>
          <t>EVEN</t>
        </is>
      </c>
      <c r="B35" s="4" t="inlineStr">
        <is>
          <t>Округление до чётного</t>
        </is>
      </c>
      <c r="C35" s="5">
        <f>EVEN(3.2)</f>
        <v/>
      </c>
      <c r="D35" s="6" t="n">
        <v>4</v>
      </c>
      <c r="E35" s="4" t="inlineStr">
        <is>
          <t>Ближайшее чётное вверх</t>
        </is>
      </c>
    </row>
    <row r="36">
      <c r="A36" s="4" t="inlineStr">
        <is>
          <t>ODD</t>
        </is>
      </c>
      <c r="B36" s="4" t="inlineStr">
        <is>
          <t>Округление до нечётного</t>
        </is>
      </c>
      <c r="C36" s="5">
        <f>ODD(4.2)</f>
        <v/>
      </c>
      <c r="D36" s="6" t="n">
        <v>5</v>
      </c>
      <c r="E36" s="4" t="inlineStr">
        <is>
          <t>Ближайшее нечётное вверх</t>
        </is>
      </c>
    </row>
    <row r="37">
      <c r="A37" s="4" t="inlineStr">
        <is>
          <t>ABS</t>
        </is>
      </c>
      <c r="B37" s="4" t="inlineStr">
        <is>
          <t>Модуль</t>
        </is>
      </c>
      <c r="C37" s="5">
        <f>ABS(-42)</f>
        <v/>
      </c>
      <c r="D37" s="6" t="n">
        <v>42</v>
      </c>
      <c r="E37" s="4" t="inlineStr">
        <is>
          <t>Абсолютное значение</t>
        </is>
      </c>
    </row>
    <row r="38">
      <c r="A38" s="4" t="inlineStr">
        <is>
          <t>SIGN</t>
        </is>
      </c>
      <c r="B38" s="4" t="inlineStr">
        <is>
          <t>Знак числа</t>
        </is>
      </c>
      <c r="C38" s="5">
        <f>SIGN(-15)</f>
        <v/>
      </c>
      <c r="D38" s="6" t="n">
        <v>-1</v>
      </c>
      <c r="E38" s="4" t="inlineStr">
        <is>
          <t>−1, 0 или 1</t>
        </is>
      </c>
    </row>
    <row r="39">
      <c r="A39" s="4" t="inlineStr">
        <is>
          <t>SIGN</t>
        </is>
      </c>
      <c r="B39" s="4" t="inlineStr">
        <is>
          <t>Знак положительного</t>
        </is>
      </c>
      <c r="C39" s="5">
        <f>SIGN(15)</f>
        <v/>
      </c>
      <c r="D39" s="6" t="n">
        <v>1</v>
      </c>
      <c r="E39" s="4" t="inlineStr">
        <is>
          <t>Положительное → 1</t>
        </is>
      </c>
    </row>
    <row r="40">
      <c r="A40" s="4" t="inlineStr">
        <is>
          <t>MOD</t>
        </is>
      </c>
      <c r="B40" s="4" t="inlineStr">
        <is>
          <t>Остаток от деления</t>
        </is>
      </c>
      <c r="C40" s="5">
        <f>MOD(17,5)</f>
        <v/>
      </c>
      <c r="D40" s="6" t="n">
        <v>2</v>
      </c>
      <c r="E40" s="4" t="inlineStr">
        <is>
          <t>17 / 5 = 3, остаток 2</t>
        </is>
      </c>
    </row>
    <row r="41">
      <c r="A41" s="4" t="inlineStr">
        <is>
          <t>QUOTIENT</t>
        </is>
      </c>
      <c r="B41" s="4" t="inlineStr">
        <is>
          <t>Целое от деления</t>
        </is>
      </c>
      <c r="C41" s="5">
        <f>QUOTIENT(17,5)</f>
        <v/>
      </c>
      <c r="D41" s="6" t="n">
        <v>3</v>
      </c>
      <c r="E41" s="4" t="inlineStr">
        <is>
          <t>Целая часть 17/5</t>
        </is>
      </c>
    </row>
    <row r="42">
      <c r="A42" s="4" t="inlineStr">
        <is>
          <t>GCD</t>
        </is>
      </c>
      <c r="B42" s="4" t="inlineStr">
        <is>
          <t>Наибольший общий делитель</t>
        </is>
      </c>
      <c r="C42" s="5">
        <f>GCD(48,18)</f>
        <v/>
      </c>
      <c r="D42" s="6" t="n">
        <v>6</v>
      </c>
      <c r="E42" s="4" t="inlineStr">
        <is>
          <t>НОД(48,18) = 6</t>
        </is>
      </c>
    </row>
    <row r="43">
      <c r="A43" s="4" t="inlineStr">
        <is>
          <t>LCM</t>
        </is>
      </c>
      <c r="B43" s="4" t="inlineStr">
        <is>
          <t>Наименьшее общее кратное</t>
        </is>
      </c>
      <c r="C43" s="5">
        <f>LCM(4,6)</f>
        <v/>
      </c>
      <c r="D43" s="6" t="n">
        <v>12</v>
      </c>
      <c r="E43" s="4" t="inlineStr">
        <is>
          <t>НОК(4,6) = 12</t>
        </is>
      </c>
    </row>
    <row r="44">
      <c r="A44" s="4" t="inlineStr">
        <is>
          <t>POWER</t>
        </is>
      </c>
      <c r="B44" s="4" t="inlineStr">
        <is>
          <t>Возведение в степень</t>
        </is>
      </c>
      <c r="C44" s="5">
        <f>POWER(2,10)</f>
        <v/>
      </c>
      <c r="D44" s="6" t="n">
        <v>1024</v>
      </c>
      <c r="E44" s="4" t="inlineStr">
        <is>
          <t>2¹⁰ = 1024</t>
        </is>
      </c>
    </row>
    <row r="45">
      <c r="A45" s="4" t="inlineStr">
        <is>
          <t>SQRT</t>
        </is>
      </c>
      <c r="B45" s="4" t="inlineStr">
        <is>
          <t>Квадратный корень</t>
        </is>
      </c>
      <c r="C45" s="5">
        <f>SQRT(144)</f>
        <v/>
      </c>
      <c r="D45" s="6" t="n">
        <v>12</v>
      </c>
      <c r="E45" s="4" t="inlineStr">
        <is>
          <t>√144 = 12</t>
        </is>
      </c>
    </row>
    <row r="46">
      <c r="A46" s="4" t="inlineStr">
        <is>
          <t>SQRTPI</t>
        </is>
      </c>
      <c r="B46" s="4" t="inlineStr">
        <is>
          <t>Корень из произведения на π</t>
        </is>
      </c>
      <c r="C46" s="5">
        <f>SQRTPI(2)</f>
        <v/>
      </c>
      <c r="D46" s="6" t="n">
        <v>2.51</v>
      </c>
      <c r="E46" s="4" t="inlineStr">
        <is>
          <t>√(2·π) ≈ 2,51</t>
        </is>
      </c>
    </row>
    <row r="47">
      <c r="A47" s="4" t="inlineStr">
        <is>
          <t>EXP</t>
        </is>
      </c>
      <c r="B47" s="4" t="inlineStr">
        <is>
          <t>Экспонента</t>
        </is>
      </c>
      <c r="C47" s="5">
        <f>EXP(1)</f>
        <v/>
      </c>
      <c r="D47" s="6" t="n">
        <v>2.72</v>
      </c>
      <c r="E47" s="4" t="inlineStr">
        <is>
          <t>e¹ ≈ 2,718</t>
        </is>
      </c>
    </row>
    <row r="48">
      <c r="A48" s="4" t="inlineStr">
        <is>
          <t>LN</t>
        </is>
      </c>
      <c r="B48" s="4" t="inlineStr">
        <is>
          <t>Натуральный логарифм</t>
        </is>
      </c>
      <c r="C48" s="5">
        <f>LN(2.718)</f>
        <v/>
      </c>
      <c r="D48" s="6" t="n">
        <v>1</v>
      </c>
      <c r="E48" s="4" t="inlineStr">
        <is>
          <t>ln(e) = 1</t>
        </is>
      </c>
    </row>
    <row r="49">
      <c r="A49" s="4" t="inlineStr">
        <is>
          <t>LOG</t>
        </is>
      </c>
      <c r="B49" s="4" t="inlineStr">
        <is>
          <t>Логарифм по основанию</t>
        </is>
      </c>
      <c r="C49" s="5">
        <f>LOG(100,10)</f>
        <v/>
      </c>
      <c r="D49" s="6" t="n">
        <v>2</v>
      </c>
      <c r="E49" s="4" t="inlineStr">
        <is>
          <t>log₁₀(100) = 2</t>
        </is>
      </c>
    </row>
    <row r="50">
      <c r="A50" s="4" t="inlineStr">
        <is>
          <t>LOG10</t>
        </is>
      </c>
      <c r="B50" s="4" t="inlineStr">
        <is>
          <t>Десятичный логарифм</t>
        </is>
      </c>
      <c r="C50" s="5">
        <f>LOG10(1000)</f>
        <v/>
      </c>
      <c r="D50" s="6" t="n">
        <v>3</v>
      </c>
      <c r="E50" s="4" t="inlineStr">
        <is>
          <t>log₁₀(1000) = 3</t>
        </is>
      </c>
    </row>
    <row r="51">
      <c r="A51" s="4" t="inlineStr">
        <is>
          <t>PRODUCT</t>
        </is>
      </c>
      <c r="B51" s="4" t="inlineStr">
        <is>
          <t>Произведение</t>
        </is>
      </c>
      <c r="C51" s="5">
        <f>PRODUCT(2,3,4)</f>
        <v/>
      </c>
      <c r="D51" s="6" t="n">
        <v>24</v>
      </c>
      <c r="E51" s="4" t="inlineStr">
        <is>
          <t>2·3·4 = 24</t>
        </is>
      </c>
    </row>
    <row r="52">
      <c r="A52" s="4" t="inlineStr">
        <is>
          <t>FACT</t>
        </is>
      </c>
      <c r="B52" s="4" t="inlineStr">
        <is>
          <t>Факториал</t>
        </is>
      </c>
      <c r="C52" s="5">
        <f>FACT(5)</f>
        <v/>
      </c>
      <c r="D52" s="6" t="n">
        <v>120</v>
      </c>
      <c r="E52" s="4" t="inlineStr">
        <is>
          <t>5! = 120</t>
        </is>
      </c>
    </row>
    <row r="53">
      <c r="A53" s="4" t="inlineStr">
        <is>
          <t>FACTDOUBLE</t>
        </is>
      </c>
      <c r="B53" s="4" t="inlineStr">
        <is>
          <t>Двойной факториал</t>
        </is>
      </c>
      <c r="C53" s="5">
        <f>FACTDOUBLE(6)</f>
        <v/>
      </c>
      <c r="D53" s="6" t="n">
        <v>48</v>
      </c>
      <c r="E53" s="4" t="inlineStr">
        <is>
          <t>6!! = 6·4·2 = 48</t>
        </is>
      </c>
    </row>
    <row r="54">
      <c r="A54" s="4" t="inlineStr">
        <is>
          <t>COMBIN</t>
        </is>
      </c>
      <c r="B54" s="4" t="inlineStr">
        <is>
          <t>Сочетания</t>
        </is>
      </c>
      <c r="C54" s="5">
        <f>COMBIN(5,3)</f>
        <v/>
      </c>
      <c r="D54" s="6" t="n">
        <v>10</v>
      </c>
      <c r="E54" s="4" t="inlineStr">
        <is>
          <t>C(5,3) = 10</t>
        </is>
      </c>
    </row>
    <row r="55">
      <c r="A55" s="4" t="inlineStr">
        <is>
          <t>COMBINA</t>
        </is>
      </c>
      <c r="B55" s="4" t="inlineStr">
        <is>
          <t>Сочетания с повторениями</t>
        </is>
      </c>
      <c r="C55" s="5">
        <f>COMBINA(5,3)</f>
        <v/>
      </c>
      <c r="D55" s="6" t="n">
        <v>35</v>
      </c>
      <c r="E55" s="4" t="inlineStr">
        <is>
          <t>С повторениями</t>
        </is>
      </c>
    </row>
    <row r="56">
      <c r="A56" s="4" t="inlineStr">
        <is>
          <t>PERMUT</t>
        </is>
      </c>
      <c r="B56" s="4" t="inlineStr">
        <is>
          <t>Перестановки</t>
        </is>
      </c>
      <c r="C56" s="5">
        <f>PERMUT(5,3)</f>
        <v/>
      </c>
      <c r="D56" s="6" t="n">
        <v>60</v>
      </c>
      <c r="E56" s="4" t="inlineStr">
        <is>
          <t>P(5,3) = 60</t>
        </is>
      </c>
    </row>
    <row r="57">
      <c r="A57" s="4" t="inlineStr">
        <is>
          <t>PERMUTATIONA</t>
        </is>
      </c>
      <c r="B57" s="4" t="inlineStr">
        <is>
          <t>Перестановки с повторениями</t>
        </is>
      </c>
      <c r="C57" s="5">
        <f>PERMUTATIONA(5,3)</f>
        <v/>
      </c>
      <c r="D57" s="6" t="n">
        <v>125</v>
      </c>
      <c r="E57" s="4" t="inlineStr">
        <is>
          <t>5³ = 125</t>
        </is>
      </c>
    </row>
    <row r="58">
      <c r="A58" s="4" t="inlineStr">
        <is>
          <t>MULTINOMIAL</t>
        </is>
      </c>
      <c r="B58" s="4" t="inlineStr">
        <is>
          <t>Мультиномиальный коэффициент</t>
        </is>
      </c>
      <c r="C58" s="5">
        <f>MULTINOMIAL(2,3,4)</f>
        <v/>
      </c>
      <c r="D58" s="6" t="n">
        <v>1260</v>
      </c>
      <c r="E58" s="4" t="inlineStr">
        <is>
          <t>(2+3+4)!/(2!·3!·4!)</t>
        </is>
      </c>
    </row>
    <row r="59">
      <c r="A59" s="4" t="inlineStr">
        <is>
          <t>SERIESSUM</t>
        </is>
      </c>
      <c r="B59" s="4" t="inlineStr">
        <is>
          <t>Сумма степенного ряда</t>
        </is>
      </c>
      <c r="C59" s="5">
        <f>SERIESSUM(1,0,2,{1,2,3})</f>
        <v/>
      </c>
      <c r="D59" s="6" t="n">
        <v>6</v>
      </c>
      <c r="E59" s="4" t="inlineStr">
        <is>
          <t>1·1⁰+2·1²+3·1⁴ = 6</t>
        </is>
      </c>
    </row>
    <row r="60">
      <c r="A60" s="4" t="inlineStr">
        <is>
          <t>RAND</t>
        </is>
      </c>
      <c r="B60" s="4" t="inlineStr">
        <is>
          <t>Случайное 0..1</t>
        </is>
      </c>
      <c r="C60" s="5">
        <f>RAND()</f>
        <v/>
      </c>
      <c r="D60" s="6" t="inlineStr">
        <is>
          <t>0..1</t>
        </is>
      </c>
      <c r="E60" s="4" t="inlineStr">
        <is>
          <t>Динамически меняется</t>
        </is>
      </c>
    </row>
    <row r="61">
      <c r="A61" s="4" t="inlineStr">
        <is>
          <t>RANDBETWEEN</t>
        </is>
      </c>
      <c r="B61" s="4" t="inlineStr">
        <is>
          <t>Случайное целое</t>
        </is>
      </c>
      <c r="C61" s="5">
        <f>RANDBETWEEN(1,100)</f>
        <v/>
      </c>
      <c r="D61" s="6" t="inlineStr">
        <is>
          <t>1..100</t>
        </is>
      </c>
      <c r="E61" s="4" t="inlineStr">
        <is>
          <t>Случайное в диапазоне</t>
        </is>
      </c>
    </row>
    <row r="62">
      <c r="A62" s="4" t="inlineStr">
        <is>
          <t>RANDARRAY</t>
        </is>
      </c>
      <c r="B62" s="4" t="inlineStr">
        <is>
          <t>Массив случайных</t>
        </is>
      </c>
      <c r="C62" s="5">
        <f>RANDARRAY(3,3,1,100,TRUE)</f>
        <v/>
      </c>
      <c r="D62" s="6" t="inlineStr">
        <is>
          <t>3×3 массив</t>
        </is>
      </c>
      <c r="E62" s="4" t="inlineStr">
        <is>
          <t>Excel 365+</t>
        </is>
      </c>
    </row>
    <row r="63">
      <c r="A63" s="4" t="inlineStr">
        <is>
          <t>SUBTOTAL</t>
        </is>
      </c>
      <c r="B63" s="4" t="inlineStr">
        <is>
          <t>Итог с фильтром</t>
        </is>
      </c>
      <c r="C63" s="5">
        <f>SUBTOTAL(9,A100:A109)</f>
        <v/>
      </c>
      <c r="D63" s="6" t="n">
        <v>550</v>
      </c>
      <c r="E63" s="4" t="inlineStr">
        <is>
          <t>9=SUM, игнорирует скрытые</t>
        </is>
      </c>
    </row>
    <row r="64">
      <c r="A64" s="4" t="inlineStr">
        <is>
          <t>SUBTOTAL</t>
        </is>
      </c>
      <c r="B64" s="4" t="inlineStr">
        <is>
          <t>Итог (среднее)</t>
        </is>
      </c>
      <c r="C64" s="5">
        <f>SUBTOTAL(1,A100:A109)</f>
        <v/>
      </c>
      <c r="D64" s="6" t="n">
        <v>55</v>
      </c>
      <c r="E64" s="4" t="inlineStr">
        <is>
          <t>1=AVERAGE</t>
        </is>
      </c>
    </row>
    <row r="65">
      <c r="A65" s="4" t="inlineStr">
        <is>
          <t>AGGREGATE</t>
        </is>
      </c>
      <c r="B65" s="4" t="inlineStr">
        <is>
          <t>Универсальный итог</t>
        </is>
      </c>
      <c r="C65" s="5">
        <f>AGGREGATE(1,6,A100:A109)</f>
        <v/>
      </c>
      <c r="D65" s="6" t="n">
        <v>55</v>
      </c>
      <c r="E65" s="4" t="inlineStr">
        <is>
          <t>1=AVG, 6=игнор ошибки</t>
        </is>
      </c>
    </row>
    <row r="66">
      <c r="A66" s="4" t="inlineStr">
        <is>
          <t>AGGREGATE</t>
        </is>
      </c>
      <c r="B66" s="4" t="inlineStr">
        <is>
          <t>Универсальный (медиана)</t>
        </is>
      </c>
      <c r="C66" s="5">
        <f>AGGREGATE(12,6,A100:A109)</f>
        <v/>
      </c>
      <c r="D66" s="6" t="n">
        <v>55</v>
      </c>
      <c r="E66" s="4" t="inlineStr">
        <is>
          <t>12=MEDIAN</t>
        </is>
      </c>
    </row>
    <row r="67">
      <c r="A67" s="4" t="inlineStr">
        <is>
          <t>PI</t>
        </is>
      </c>
      <c r="B67" s="4" t="inlineStr">
        <is>
          <t>Число π</t>
        </is>
      </c>
      <c r="C67" s="5">
        <f>PI()</f>
        <v/>
      </c>
      <c r="D67" s="6" t="n">
        <v>3.14</v>
      </c>
      <c r="E67" s="4" t="inlineStr">
        <is>
          <t>π ≈ 3,14159...</t>
        </is>
      </c>
    </row>
    <row r="68">
      <c r="A68" s="4" t="inlineStr">
        <is>
          <t>SIN</t>
        </is>
      </c>
      <c r="B68" s="4" t="inlineStr">
        <is>
          <t>Синус</t>
        </is>
      </c>
      <c r="C68" s="5">
        <f>SIN(PI()/2)</f>
        <v/>
      </c>
      <c r="D68" s="6" t="n">
        <v>1</v>
      </c>
      <c r="E68" s="4" t="inlineStr">
        <is>
          <t>sin(90°) = 1</t>
        </is>
      </c>
    </row>
    <row r="69">
      <c r="A69" s="4" t="inlineStr">
        <is>
          <t>COS</t>
        </is>
      </c>
      <c r="B69" s="4" t="inlineStr">
        <is>
          <t>Косинус</t>
        </is>
      </c>
      <c r="C69" s="5">
        <f>COS(0)</f>
        <v/>
      </c>
      <c r="D69" s="6" t="n">
        <v>1</v>
      </c>
      <c r="E69" s="4" t="inlineStr">
        <is>
          <t>cos(0°) = 1</t>
        </is>
      </c>
    </row>
    <row r="70">
      <c r="A70" s="4" t="inlineStr">
        <is>
          <t>TAN</t>
        </is>
      </c>
      <c r="B70" s="4" t="inlineStr">
        <is>
          <t>Тангенс</t>
        </is>
      </c>
      <c r="C70" s="5">
        <f>TAN(PI()/4)</f>
        <v/>
      </c>
      <c r="D70" s="6" t="n">
        <v>1</v>
      </c>
      <c r="E70" s="4" t="inlineStr">
        <is>
          <t>tg(45°) = 1</t>
        </is>
      </c>
    </row>
    <row r="71">
      <c r="A71" s="4" t="inlineStr">
        <is>
          <t>COT</t>
        </is>
      </c>
      <c r="B71" s="4" t="inlineStr">
        <is>
          <t>Котангенс</t>
        </is>
      </c>
      <c r="C71" s="5">
        <f>COT(PI()/4)</f>
        <v/>
      </c>
      <c r="D71" s="6" t="n">
        <v>1</v>
      </c>
      <c r="E71" s="4" t="inlineStr">
        <is>
          <t>ctg(45°) = 1</t>
        </is>
      </c>
    </row>
    <row r="72">
      <c r="A72" s="4" t="inlineStr">
        <is>
          <t>SEC</t>
        </is>
      </c>
      <c r="B72" s="4" t="inlineStr">
        <is>
          <t>Секанс</t>
        </is>
      </c>
      <c r="C72" s="5">
        <f>SEC(0)</f>
        <v/>
      </c>
      <c r="D72" s="6" t="n">
        <v>1</v>
      </c>
      <c r="E72" s="4" t="inlineStr">
        <is>
          <t>sec(0°) = 1</t>
        </is>
      </c>
    </row>
    <row r="73">
      <c r="A73" s="4" t="inlineStr">
        <is>
          <t>CSC</t>
        </is>
      </c>
      <c r="B73" s="4" t="inlineStr">
        <is>
          <t>Косеканс</t>
        </is>
      </c>
      <c r="C73" s="5">
        <f>CSC(PI()/2)</f>
        <v/>
      </c>
      <c r="D73" s="6" t="n">
        <v>1</v>
      </c>
      <c r="E73" s="4" t="inlineStr">
        <is>
          <t>csc(90°) = 1</t>
        </is>
      </c>
    </row>
    <row r="74">
      <c r="A74" s="4" t="inlineStr">
        <is>
          <t>ASIN</t>
        </is>
      </c>
      <c r="B74" s="4" t="inlineStr">
        <is>
          <t>Арксинус</t>
        </is>
      </c>
      <c r="C74" s="5">
        <f>ASIN(1)</f>
        <v/>
      </c>
      <c r="D74" s="6" t="n">
        <v>1.57</v>
      </c>
      <c r="E74" s="4" t="inlineStr">
        <is>
          <t>arcsin(1) = π/2 ≈ 1,57</t>
        </is>
      </c>
    </row>
    <row r="75">
      <c r="A75" s="4" t="inlineStr">
        <is>
          <t>ACOS</t>
        </is>
      </c>
      <c r="B75" s="4" t="inlineStr">
        <is>
          <t>Арккосинус</t>
        </is>
      </c>
      <c r="C75" s="5">
        <f>ACOS(1)</f>
        <v/>
      </c>
      <c r="D75" s="6" t="n">
        <v>0</v>
      </c>
      <c r="E75" s="4" t="inlineStr">
        <is>
          <t>arccos(1) = 0</t>
        </is>
      </c>
    </row>
    <row r="76">
      <c r="A76" s="4" t="inlineStr">
        <is>
          <t>ATAN</t>
        </is>
      </c>
      <c r="B76" s="4" t="inlineStr">
        <is>
          <t>Арктангенс</t>
        </is>
      </c>
      <c r="C76" s="5">
        <f>ATAN(1)</f>
        <v/>
      </c>
      <c r="D76" s="6" t="n">
        <v>0.79</v>
      </c>
      <c r="E76" s="4" t="inlineStr">
        <is>
          <t>arctg(1) = π/4 ≈ 0,785</t>
        </is>
      </c>
    </row>
    <row r="77">
      <c r="A77" s="4" t="inlineStr">
        <is>
          <t>ATAN2</t>
        </is>
      </c>
      <c r="B77" s="4" t="inlineStr">
        <is>
          <t>Арктангенс от координат</t>
        </is>
      </c>
      <c r="C77" s="5">
        <f>ATAN2(1,1)</f>
        <v/>
      </c>
      <c r="D77" s="6" t="n">
        <v>0.79</v>
      </c>
      <c r="E77" s="4" t="inlineStr">
        <is>
          <t>Угол точки (1,1)</t>
        </is>
      </c>
    </row>
    <row r="78">
      <c r="A78" s="4" t="inlineStr">
        <is>
          <t>SINH</t>
        </is>
      </c>
      <c r="B78" s="4" t="inlineStr">
        <is>
          <t>Гиперболический синус</t>
        </is>
      </c>
      <c r="C78" s="5">
        <f>SINH(1)</f>
        <v/>
      </c>
      <c r="D78" s="6" t="n">
        <v>1.18</v>
      </c>
      <c r="E78" s="4" t="inlineStr">
        <is>
          <t>sh(1) ≈ 1,175</t>
        </is>
      </c>
    </row>
    <row r="79">
      <c r="A79" s="4" t="inlineStr">
        <is>
          <t>COSH</t>
        </is>
      </c>
      <c r="B79" s="4" t="inlineStr">
        <is>
          <t>Гиперболический косинус</t>
        </is>
      </c>
      <c r="C79" s="5">
        <f>COSH(1)</f>
        <v/>
      </c>
      <c r="D79" s="6" t="n">
        <v>1.54</v>
      </c>
      <c r="E79" s="4" t="inlineStr">
        <is>
          <t>ch(1) ≈ 1,543</t>
        </is>
      </c>
    </row>
    <row r="80">
      <c r="A80" s="4" t="inlineStr">
        <is>
          <t>TANH</t>
        </is>
      </c>
      <c r="B80" s="4" t="inlineStr">
        <is>
          <t>Гиперболический тангенс</t>
        </is>
      </c>
      <c r="C80" s="5">
        <f>TANH(1)</f>
        <v/>
      </c>
      <c r="D80" s="6" t="n">
        <v>0.76</v>
      </c>
      <c r="E80" s="4" t="inlineStr">
        <is>
          <t>th(1) ≈ 0,762</t>
        </is>
      </c>
    </row>
    <row r="81">
      <c r="A81" s="4" t="inlineStr">
        <is>
          <t>ASINH</t>
        </is>
      </c>
      <c r="B81" s="4" t="inlineStr">
        <is>
          <t>Обратный гиперболический синус</t>
        </is>
      </c>
      <c r="C81" s="5">
        <f>ASINH(1)</f>
        <v/>
      </c>
      <c r="D81" s="6" t="n">
        <v>0.88</v>
      </c>
      <c r="E81" s="4" t="inlineStr">
        <is>
          <t>arsh(1) ≈ 0,881</t>
        </is>
      </c>
    </row>
    <row r="82">
      <c r="A82" s="4" t="inlineStr">
        <is>
          <t>ACOSH</t>
        </is>
      </c>
      <c r="B82" s="4" t="inlineStr">
        <is>
          <t>Обратный гиперболический косинус</t>
        </is>
      </c>
      <c r="C82" s="5">
        <f>ACOSH(1)</f>
        <v/>
      </c>
      <c r="D82" s="6" t="n">
        <v>0</v>
      </c>
      <c r="E82" s="4" t="inlineStr">
        <is>
          <t>arch(1) = 0</t>
        </is>
      </c>
    </row>
    <row r="83">
      <c r="A83" s="4" t="inlineStr">
        <is>
          <t>ATANH</t>
        </is>
      </c>
      <c r="B83" s="4" t="inlineStr">
        <is>
          <t>Обратный гиперболический тангенс</t>
        </is>
      </c>
      <c r="C83" s="5">
        <f>ATANH(0.5)</f>
        <v/>
      </c>
      <c r="D83" s="6" t="n">
        <v>0.55</v>
      </c>
      <c r="E83" s="4" t="inlineStr">
        <is>
          <t>arth(0,5) ≈ 0,549</t>
        </is>
      </c>
    </row>
    <row r="84">
      <c r="A84" s="4" t="inlineStr">
        <is>
          <t>DEGREES</t>
        </is>
      </c>
      <c r="B84" s="4" t="inlineStr">
        <is>
          <t>Радианы в градусы</t>
        </is>
      </c>
      <c r="C84" s="5">
        <f>DEGREES(PI())</f>
        <v/>
      </c>
      <c r="D84" s="6" t="n">
        <v>180</v>
      </c>
      <c r="E84" s="4" t="inlineStr">
        <is>
          <t>π рад = 180°</t>
        </is>
      </c>
    </row>
    <row r="85">
      <c r="A85" s="4" t="inlineStr">
        <is>
          <t>RADIANS</t>
        </is>
      </c>
      <c r="B85" s="4" t="inlineStr">
        <is>
          <t>Градусы в радианы</t>
        </is>
      </c>
      <c r="C85" s="5">
        <f>RADIANS(180)</f>
        <v/>
      </c>
      <c r="D85" s="6" t="n">
        <v>3.14</v>
      </c>
      <c r="E85" s="4" t="inlineStr">
        <is>
          <t>180° = π рад</t>
        </is>
      </c>
    </row>
    <row r="86">
      <c r="A86" s="4" t="inlineStr">
        <is>
          <t>BASE</t>
        </is>
      </c>
      <c r="B86" s="4" t="inlineStr">
        <is>
          <t>Число в систему счисления</t>
        </is>
      </c>
      <c r="C86" s="5">
        <f>BASE(15,2)</f>
        <v/>
      </c>
      <c r="D86" s="6" t="inlineStr">
        <is>
          <t>1111</t>
        </is>
      </c>
      <c r="E86" s="4" t="inlineStr">
        <is>
          <t>15 в двоичной = 1111</t>
        </is>
      </c>
    </row>
    <row r="87">
      <c r="A87" s="4" t="inlineStr">
        <is>
          <t>DECIMAL</t>
        </is>
      </c>
      <c r="B87" s="4" t="inlineStr">
        <is>
          <t>Из системы счисления в десятичную</t>
        </is>
      </c>
      <c r="C87" s="5">
        <f>DECIMAL("1111",2)</f>
        <v/>
      </c>
      <c r="D87" s="6" t="n">
        <v>15</v>
      </c>
      <c r="E87" s="4" t="inlineStr">
        <is>
          <t>1111₂ = 15</t>
        </is>
      </c>
    </row>
    <row r="88">
      <c r="A88" s="4" t="inlineStr">
        <is>
          <t>ARABIC</t>
        </is>
      </c>
      <c r="B88" s="4" t="inlineStr">
        <is>
          <t>Римские цифры в арабские</t>
        </is>
      </c>
      <c r="C88" s="5">
        <f>ARABIC("XIV")</f>
        <v/>
      </c>
      <c r="D88" s="6" t="n">
        <v>14</v>
      </c>
      <c r="E88" s="4" t="inlineStr">
        <is>
          <t>XIV = 14</t>
        </is>
      </c>
    </row>
    <row r="89">
      <c r="A89" s="4" t="inlineStr">
        <is>
          <t>ROMAN</t>
        </is>
      </c>
      <c r="B89" s="4" t="inlineStr">
        <is>
          <t>Арабские цифры в римские</t>
        </is>
      </c>
      <c r="C89" s="5">
        <f>ROMAN(14)</f>
        <v/>
      </c>
      <c r="D89" s="6" t="inlineStr">
        <is>
          <t>XIV</t>
        </is>
      </c>
      <c r="E89" s="4" t="inlineStr">
        <is>
          <t>14 = XIV</t>
        </is>
      </c>
    </row>
    <row r="100">
      <c r="A100" s="7" t="inlineStr">
        <is>
          <t>Числа A100:A109</t>
        </is>
      </c>
      <c r="C100" s="7" t="inlineStr">
        <is>
          <t>Числа C100:C109</t>
        </is>
      </c>
      <c r="E100" s="7" t="inlineStr">
        <is>
          <t>Числа E100:E104</t>
        </is>
      </c>
    </row>
    <row r="101">
      <c r="A101" s="2" t="n">
        <v>10</v>
      </c>
      <c r="C101" s="2" t="n">
        <v>5</v>
      </c>
      <c r="E101" s="2" t="n">
        <v>-5</v>
      </c>
    </row>
    <row r="102">
      <c r="A102" s="2" t="n">
        <v>20</v>
      </c>
      <c r="C102" s="2" t="n">
        <v>10</v>
      </c>
      <c r="E102" s="2" t="n">
        <v>-10</v>
      </c>
    </row>
    <row r="103">
      <c r="A103" s="2" t="n">
        <v>30</v>
      </c>
      <c r="C103" s="2" t="n">
        <v>15</v>
      </c>
      <c r="E103" s="2" t="n">
        <v>15</v>
      </c>
    </row>
    <row r="104">
      <c r="A104" s="2" t="n">
        <v>40</v>
      </c>
      <c r="C104" s="2" t="n">
        <v>20</v>
      </c>
      <c r="E104" s="2" t="n">
        <v>-20</v>
      </c>
    </row>
    <row r="105">
      <c r="A105" s="2" t="n">
        <v>50</v>
      </c>
      <c r="C105" s="2" t="n">
        <v>25</v>
      </c>
      <c r="E105" s="2" t="n">
        <v>25</v>
      </c>
    </row>
    <row r="106">
      <c r="A106" s="2" t="n">
        <v>60</v>
      </c>
      <c r="C106" s="2" t="n">
        <v>30</v>
      </c>
    </row>
    <row r="107">
      <c r="A107" s="2" t="n">
        <v>70</v>
      </c>
      <c r="C107" s="2" t="n">
        <v>35</v>
      </c>
    </row>
    <row r="108">
      <c r="A108" s="2" t="n">
        <v>80</v>
      </c>
      <c r="C108" s="2" t="n">
        <v>40</v>
      </c>
    </row>
    <row r="109">
      <c r="A109" s="2" t="n">
        <v>90</v>
      </c>
      <c r="C109" s="2" t="n">
        <v>45</v>
      </c>
    </row>
    <row r="110">
      <c r="A110" s="2" t="n">
        <v>100</v>
      </c>
      <c r="C110" s="2" t="n">
        <v>50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52" customWidth="1" min="3" max="3"/>
    <col width="22" customWidth="1" min="4" max="4"/>
    <col width="45" customWidth="1" min="5" max="5"/>
  </cols>
  <sheetData>
    <row r="1">
      <c r="A1" s="1" t="inlineStr">
        <is>
          <t>СТАТИСТИЧЕСКИЕ ФУНКЦИИ</t>
        </is>
      </c>
      <c r="B1" s="2" t="n"/>
      <c r="C1" s="2" t="n"/>
      <c r="D1" s="2" t="n"/>
      <c r="E1" s="2" t="n"/>
    </row>
    <row r="2">
      <c r="A2" s="3" t="inlineStr">
        <is>
          <t>Функция</t>
        </is>
      </c>
      <c r="B2" s="3" t="inlineStr">
        <is>
          <t>Описание</t>
        </is>
      </c>
      <c r="C2" s="3" t="inlineStr">
        <is>
          <t>Формула</t>
        </is>
      </c>
      <c r="D2" s="3" t="inlineStr">
        <is>
          <t>Результат</t>
        </is>
      </c>
      <c r="E2" s="3" t="inlineStr">
        <is>
          <t>Примечания</t>
        </is>
      </c>
    </row>
    <row r="3">
      <c r="A3" s="4" t="inlineStr">
        <is>
          <t>COUNT</t>
        </is>
      </c>
      <c r="B3" s="4" t="inlineStr">
        <is>
          <t>Количество чисел</t>
        </is>
      </c>
      <c r="C3" s="5">
        <f>COUNT(10,"текст",20,30)</f>
        <v/>
      </c>
      <c r="D3" s="6" t="n">
        <v>3</v>
      </c>
      <c r="E3" s="4" t="inlineStr">
        <is>
          <t>Только числа</t>
        </is>
      </c>
    </row>
    <row r="4">
      <c r="A4" s="4" t="inlineStr">
        <is>
          <t>COUNT</t>
        </is>
      </c>
      <c r="B4" s="4" t="inlineStr">
        <is>
          <t>Количество в диапазоне</t>
        </is>
      </c>
      <c r="C4" s="5">
        <f>COUNT(A100:A109)</f>
        <v/>
      </c>
      <c r="D4" s="6" t="n">
        <v>10</v>
      </c>
      <c r="E4" s="4" t="inlineStr">
        <is>
          <t>Все 10 — числа</t>
        </is>
      </c>
    </row>
    <row r="5">
      <c r="A5" s="4" t="inlineStr">
        <is>
          <t>COUNTA</t>
        </is>
      </c>
      <c r="B5" s="4" t="inlineStr">
        <is>
          <t>Количество непустых</t>
        </is>
      </c>
      <c r="C5" s="5">
        <f>COUNTA(10,"текст",20,"")</f>
        <v/>
      </c>
      <c r="D5" s="6" t="n">
        <v>3</v>
      </c>
      <c r="E5" s="4" t="inlineStr">
        <is>
          <t>Пустое не считается</t>
        </is>
      </c>
    </row>
    <row r="6">
      <c r="A6" s="4" t="inlineStr">
        <is>
          <t>COUNTBLANK</t>
        </is>
      </c>
      <c r="B6" s="4" t="inlineStr">
        <is>
          <t>Количество пустых</t>
        </is>
      </c>
      <c r="C6" s="5">
        <f>COUNTBLANK(A100:A109)</f>
        <v/>
      </c>
      <c r="D6" s="6" t="n">
        <v>0</v>
      </c>
      <c r="E6" s="4" t="inlineStr">
        <is>
          <t>Все заполнены</t>
        </is>
      </c>
    </row>
    <row r="7">
      <c r="A7" s="4" t="inlineStr">
        <is>
          <t>COUNTIF</t>
        </is>
      </c>
      <c r="B7" s="4" t="inlineStr">
        <is>
          <t>Количество по условию</t>
        </is>
      </c>
      <c r="C7" s="5">
        <f>COUNTIF(A100:A109,"&gt;50")</f>
        <v/>
      </c>
      <c r="D7" s="6" t="n">
        <v>5</v>
      </c>
      <c r="E7" s="4" t="inlineStr">
        <is>
          <t>60,70,80,90,100</t>
        </is>
      </c>
    </row>
    <row r="8">
      <c r="A8" s="4" t="inlineStr">
        <is>
          <t>COUNTIFS</t>
        </is>
      </c>
      <c r="B8" s="4" t="inlineStr">
        <is>
          <t>Количество по условиям</t>
        </is>
      </c>
      <c r="C8" s="5">
        <f>COUNTIFS(A100:A109,"&gt;30",A100:A109,"&lt;80")</f>
        <v/>
      </c>
      <c r="D8" s="6" t="n">
        <v>4</v>
      </c>
      <c r="E8" s="4" t="inlineStr">
        <is>
          <t>40,50,60,70</t>
        </is>
      </c>
    </row>
    <row r="9">
      <c r="A9" s="4" t="inlineStr">
        <is>
          <t>AVERAGE</t>
        </is>
      </c>
      <c r="B9" s="4" t="inlineStr">
        <is>
          <t>Среднее</t>
        </is>
      </c>
      <c r="C9" s="5">
        <f>AVERAGE(A100:A109)</f>
        <v/>
      </c>
      <c r="D9" s="6" t="n">
        <v>55</v>
      </c>
      <c r="E9" s="4" t="inlineStr">
        <is>
          <t>550/10</t>
        </is>
      </c>
    </row>
    <row r="10">
      <c r="A10" s="4" t="inlineStr">
        <is>
          <t>AVERAGEA</t>
        </is>
      </c>
      <c r="B10" s="4" t="inlineStr">
        <is>
          <t>Среднее (все типы)</t>
        </is>
      </c>
      <c r="C10" s="5">
        <f>AVERAGEA(10,20,"текст",40)</f>
        <v/>
      </c>
      <c r="D10" s="6" t="n">
        <v>17.5</v>
      </c>
      <c r="E10" s="4" t="inlineStr">
        <is>
          <t>Текст=0</t>
        </is>
      </c>
    </row>
    <row r="11">
      <c r="A11" s="4" t="inlineStr">
        <is>
          <t>AVERAGEIF</t>
        </is>
      </c>
      <c r="B11" s="4" t="inlineStr">
        <is>
          <t>Среднее по условию</t>
        </is>
      </c>
      <c r="C11" s="5">
        <f>AVERAGEIF(A100:A109,"&gt;50")</f>
        <v/>
      </c>
      <c r="D11" s="6" t="n">
        <v>80</v>
      </c>
      <c r="E11" s="4" t="inlineStr">
        <is>
          <t>(60+70+80+90+100)/5</t>
        </is>
      </c>
    </row>
    <row r="12">
      <c r="A12" s="4" t="inlineStr">
        <is>
          <t>AVERAGEIFS</t>
        </is>
      </c>
      <c r="B12" s="4" t="inlineStr">
        <is>
          <t>Среднее по условиям</t>
        </is>
      </c>
      <c r="C12" s="5">
        <f>AVERAGEIFS(A100:A109,A100:A109,"&gt;30",A100:A109,"&lt;80")</f>
        <v/>
      </c>
      <c r="D12" s="6" t="n">
        <v>52.5</v>
      </c>
      <c r="E12" s="4" t="inlineStr">
        <is>
          <t>(40+50+60+70)/4</t>
        </is>
      </c>
    </row>
    <row r="13">
      <c r="A13" s="4" t="inlineStr">
        <is>
          <t>MEDIAN</t>
        </is>
      </c>
      <c r="B13" s="4" t="inlineStr">
        <is>
          <t>Медиана</t>
        </is>
      </c>
      <c r="C13" s="5">
        <f>MEDIAN(A100:A109)</f>
        <v/>
      </c>
      <c r="D13" s="6" t="n">
        <v>55</v>
      </c>
      <c r="E13" s="4" t="inlineStr">
        <is>
          <t>(50+60)/2 = 55</t>
        </is>
      </c>
    </row>
    <row r="14">
      <c r="A14" s="4" t="inlineStr">
        <is>
          <t>MODE.SNGL</t>
        </is>
      </c>
      <c r="B14" s="4" t="inlineStr">
        <is>
          <t>Мода</t>
        </is>
      </c>
      <c r="C14" s="5">
        <f>MODE.SNGL(10,20,20,30,40)</f>
        <v/>
      </c>
      <c r="D14" s="6" t="n">
        <v>20</v>
      </c>
      <c r="E14" s="4" t="inlineStr">
        <is>
          <t>Наиболее частое</t>
        </is>
      </c>
    </row>
    <row r="15">
      <c r="A15" s="4" t="inlineStr">
        <is>
          <t>MODE.MULT</t>
        </is>
      </c>
      <c r="B15" s="4" t="inlineStr">
        <is>
          <t>Моды</t>
        </is>
      </c>
      <c r="C15" s="5">
        <f>MODE.MULT(10,20,20,30,30)</f>
        <v/>
      </c>
      <c r="D15" s="6" t="inlineStr">
        <is>
          <t>20, 30</t>
        </is>
      </c>
      <c r="E15" s="4" t="inlineStr">
        <is>
          <t>Несколько мод</t>
        </is>
      </c>
    </row>
    <row r="16">
      <c r="A16" s="4" t="inlineStr">
        <is>
          <t>STDEV.S</t>
        </is>
      </c>
      <c r="B16" s="4" t="inlineStr">
        <is>
          <t>Станд. отклонение (выборка)</t>
        </is>
      </c>
      <c r="C16" s="5">
        <f>STDEV.S(A100:A109)</f>
        <v/>
      </c>
      <c r="D16" s="6" t="n">
        <v>30.28</v>
      </c>
      <c r="E16" s="4" t="inlineStr">
        <is>
          <t>Для выборки</t>
        </is>
      </c>
    </row>
    <row r="17">
      <c r="A17" s="4" t="inlineStr">
        <is>
          <t>STDEV.P</t>
        </is>
      </c>
      <c r="B17" s="4" t="inlineStr">
        <is>
          <t>Станд. отклонение (генерал.)</t>
        </is>
      </c>
      <c r="C17" s="5">
        <f>STDEV.P(A100:A109)</f>
        <v/>
      </c>
      <c r="D17" s="6" t="n">
        <v>28.72</v>
      </c>
      <c r="E17" s="4" t="inlineStr">
        <is>
          <t>Для совокупности</t>
        </is>
      </c>
    </row>
    <row r="18">
      <c r="A18" s="4" t="inlineStr">
        <is>
          <t>STDEVA</t>
        </is>
      </c>
      <c r="B18" s="4" t="inlineStr">
        <is>
          <t>Станд. отклонение (все типы)</t>
        </is>
      </c>
      <c r="C18" s="5">
        <f>STDEVA(10,20,"текст",40)</f>
        <v/>
      </c>
      <c r="D18" s="6" t="n">
        <v>15.28</v>
      </c>
      <c r="E18" s="4" t="inlineStr">
        <is>
          <t>Текст=0</t>
        </is>
      </c>
    </row>
    <row r="19">
      <c r="A19" s="4" t="inlineStr">
        <is>
          <t>STDEVPA</t>
        </is>
      </c>
      <c r="B19" s="4" t="inlineStr">
        <is>
          <t>Станд. отклонение (генерал., все типы)</t>
        </is>
      </c>
      <c r="C19" s="5">
        <f>STDEVPA(10,20,"текст",40)</f>
        <v/>
      </c>
      <c r="D19" s="6" t="n">
        <v>13.23</v>
      </c>
      <c r="E19" s="4" t="inlineStr">
        <is>
          <t>Генеральная совокупность</t>
        </is>
      </c>
    </row>
    <row r="20">
      <c r="A20" s="4" t="inlineStr">
        <is>
          <t>VAR.S</t>
        </is>
      </c>
      <c r="B20" s="4" t="inlineStr">
        <is>
          <t>Дисперсия (выборка)</t>
        </is>
      </c>
      <c r="C20" s="5">
        <f>VAR.S(A100:A109)</f>
        <v/>
      </c>
      <c r="D20" s="6" t="n">
        <v>916.67</v>
      </c>
      <c r="E20" s="4" t="inlineStr">
        <is>
          <t>Выборочная дисперсия</t>
        </is>
      </c>
    </row>
    <row r="21">
      <c r="A21" s="4" t="inlineStr">
        <is>
          <t>VAR.P</t>
        </is>
      </c>
      <c r="B21" s="4" t="inlineStr">
        <is>
          <t>Дисперсия (генерал.)</t>
        </is>
      </c>
      <c r="C21" s="5">
        <f>VAR.P(A100:A109)</f>
        <v/>
      </c>
      <c r="D21" s="6" t="n">
        <v>825</v>
      </c>
      <c r="E21" s="4" t="inlineStr">
        <is>
          <t>Генеральная дисперсия</t>
        </is>
      </c>
    </row>
    <row r="22">
      <c r="A22" s="4" t="inlineStr">
        <is>
          <t>VARA</t>
        </is>
      </c>
      <c r="B22" s="4" t="inlineStr">
        <is>
          <t>Дисперсия (все типы)</t>
        </is>
      </c>
      <c r="C22" s="5">
        <f>VARA(10,20,"текст",40)</f>
        <v/>
      </c>
      <c r="D22" s="6" t="n">
        <v>233.33</v>
      </c>
      <c r="E22" s="4" t="inlineStr">
        <is>
          <t>Текст=0</t>
        </is>
      </c>
    </row>
    <row r="23">
      <c r="A23" s="4" t="inlineStr">
        <is>
          <t>VARPA</t>
        </is>
      </c>
      <c r="B23" s="4" t="inlineStr">
        <is>
          <t>Дисперсия (генерал., все типы)</t>
        </is>
      </c>
      <c r="C23" s="5">
        <f>VARPA(10,20,"текст",40)</f>
        <v/>
      </c>
      <c r="D23" s="6" t="n">
        <v>175</v>
      </c>
      <c r="E23" s="4" t="inlineStr">
        <is>
          <t>Генеральная</t>
        </is>
      </c>
    </row>
    <row r="24">
      <c r="A24" s="4" t="inlineStr">
        <is>
          <t>COVARIANCE.S</t>
        </is>
      </c>
      <c r="B24" s="4" t="inlineStr">
        <is>
          <t>Ковариация (выборка)</t>
        </is>
      </c>
      <c r="C24" s="5">
        <f>COVARIANCE.S(A100:A104,C100:C104)</f>
        <v/>
      </c>
      <c r="D24" s="6" t="n">
        <v>250</v>
      </c>
      <c r="E24" s="4" t="inlineStr">
        <is>
          <t>Выборочная ковариация</t>
        </is>
      </c>
    </row>
    <row r="25">
      <c r="A25" s="4" t="inlineStr">
        <is>
          <t>COVARIANCE.P</t>
        </is>
      </c>
      <c r="B25" s="4" t="inlineStr">
        <is>
          <t>Ковариация (генерал.)</t>
        </is>
      </c>
      <c r="C25" s="5">
        <f>COVARIANCE.P(A100:A104,C100:C104)</f>
        <v/>
      </c>
      <c r="D25" s="6" t="n">
        <v>200</v>
      </c>
      <c r="E25" s="4" t="inlineStr">
        <is>
          <t>Генеральная ковариация</t>
        </is>
      </c>
    </row>
    <row r="26">
      <c r="A26" s="4" t="inlineStr">
        <is>
          <t>CORREL</t>
        </is>
      </c>
      <c r="B26" s="4" t="inlineStr">
        <is>
          <t>Корреляция Пирсона</t>
        </is>
      </c>
      <c r="C26" s="5">
        <f>CORREL(A100:A104,C100:C104)</f>
        <v/>
      </c>
      <c r="D26" s="6" t="n">
        <v>1</v>
      </c>
      <c r="E26" s="4" t="inlineStr">
        <is>
          <t>Идеальная корреляция</t>
        </is>
      </c>
    </row>
    <row r="27">
      <c r="A27" s="4" t="inlineStr">
        <is>
          <t>PEARSON</t>
        </is>
      </c>
      <c r="B27" s="4" t="inlineStr">
        <is>
          <t>Корреляция Пирсона</t>
        </is>
      </c>
      <c r="C27" s="5">
        <f>PEARSON(A100:A104,C100:C104)</f>
        <v/>
      </c>
      <c r="D27" s="6" t="n">
        <v>1</v>
      </c>
      <c r="E27" s="4" t="inlineStr">
        <is>
          <t>То же, что CORREL</t>
        </is>
      </c>
    </row>
    <row r="28">
      <c r="A28" s="4" t="inlineStr">
        <is>
          <t>RSQ</t>
        </is>
      </c>
      <c r="B28" s="4" t="inlineStr">
        <is>
          <t>Коэффициент детерминации</t>
        </is>
      </c>
      <c r="C28" s="5">
        <f>RSQ(A100:A104,C100:C104)</f>
        <v/>
      </c>
      <c r="D28" s="6" t="n">
        <v>1</v>
      </c>
      <c r="E28" s="4" t="inlineStr">
        <is>
          <t>R² = 1</t>
        </is>
      </c>
    </row>
    <row r="29">
      <c r="A29" s="4" t="inlineStr">
        <is>
          <t>SLOPE</t>
        </is>
      </c>
      <c r="B29" s="4" t="inlineStr">
        <is>
          <t>Наклон линии регрессии</t>
        </is>
      </c>
      <c r="C29" s="5">
        <f>SLOPE(C100:C104,A100:A104)</f>
        <v/>
      </c>
      <c r="D29" s="6" t="n">
        <v>2</v>
      </c>
      <c r="E29" s="4" t="inlineStr">
        <is>
          <t>Наклон = 2</t>
        </is>
      </c>
    </row>
    <row r="30">
      <c r="A30" s="4" t="inlineStr">
        <is>
          <t>INTERCEPT</t>
        </is>
      </c>
      <c r="B30" s="4" t="inlineStr">
        <is>
          <t>Пересечение с осью Y</t>
        </is>
      </c>
      <c r="C30" s="5">
        <f>INTERCEPT(C100:C104,A100:A104)</f>
        <v/>
      </c>
      <c r="D30" s="6" t="n">
        <v>0</v>
      </c>
      <c r="E30" s="4" t="inlineStr">
        <is>
          <t>b = 0</t>
        </is>
      </c>
    </row>
    <row r="31">
      <c r="A31" s="4" t="inlineStr">
        <is>
          <t>STEYX</t>
        </is>
      </c>
      <c r="B31" s="4" t="inlineStr">
        <is>
          <t>Стандартная ошибка</t>
        </is>
      </c>
      <c r="C31" s="5">
        <f>STEYX(C100:C104,A100:A104)</f>
        <v/>
      </c>
      <c r="D31" s="6" t="n">
        <v>0</v>
      </c>
      <c r="E31" s="4" t="inlineStr">
        <is>
          <t>Ошибка = 0</t>
        </is>
      </c>
    </row>
    <row r="32">
      <c r="A32" s="4" t="inlineStr">
        <is>
          <t>FORECAST.LINEAR</t>
        </is>
      </c>
      <c r="B32" s="4" t="inlineStr">
        <is>
          <t>Линейный прогноз</t>
        </is>
      </c>
      <c r="C32" s="5">
        <f>FORECAST.LINEAR(6,A100:A104,C100:C104)</f>
        <v/>
      </c>
      <c r="D32" s="6" t="n">
        <v>3</v>
      </c>
      <c r="E32" s="4" t="inlineStr">
        <is>
          <t>При X=6, Y=0,5·X=3</t>
        </is>
      </c>
    </row>
    <row r="33">
      <c r="A33" s="4" t="inlineStr">
        <is>
          <t>FORECAST.ETS</t>
        </is>
      </c>
      <c r="B33" s="4" t="inlineStr">
        <is>
          <t>Экспоненциальный прогноз</t>
        </is>
      </c>
      <c r="C33" s="5">
        <f>FORECAST.ETS(11,A100:A109,A100:A109)</f>
        <v/>
      </c>
      <c r="D33" s="6" t="inlineStr">
        <is>
          <t>~110</t>
        </is>
      </c>
      <c r="E33" s="4" t="inlineStr">
        <is>
          <t>Сезонный прогноз</t>
        </is>
      </c>
    </row>
    <row r="34">
      <c r="A34" s="4" t="inlineStr">
        <is>
          <t>FORECAST.ETS.SEASONALITY</t>
        </is>
      </c>
      <c r="B34" s="4" t="inlineStr">
        <is>
          <t>Длина сезона</t>
        </is>
      </c>
      <c r="C34" s="5">
        <f>FORECAST.ETS.SEASONALITY(A100:A109)</f>
        <v/>
      </c>
      <c r="D34" s="6" t="n">
        <v>0</v>
      </c>
      <c r="E34" s="4" t="inlineStr">
        <is>
          <t>Нет сезонности</t>
        </is>
      </c>
    </row>
    <row r="35">
      <c r="A35" s="4" t="inlineStr">
        <is>
          <t>FORECAST.ETS.CONFINT</t>
        </is>
      </c>
      <c r="B35" s="4" t="inlineStr">
        <is>
          <t>Доверительный интервал</t>
        </is>
      </c>
      <c r="C35" s="5">
        <f>FORECAST.ETS.CONFINT(11,A100:A109)</f>
        <v/>
      </c>
      <c r="D35" s="6" t="inlineStr">
        <is>
          <t>~0</t>
        </is>
      </c>
      <c r="E35" s="4" t="inlineStr">
        <is>
          <t>Для прогноза</t>
        </is>
      </c>
    </row>
    <row r="36">
      <c r="A36" s="4" t="inlineStr">
        <is>
          <t>TREND</t>
        </is>
      </c>
      <c r="B36" s="4" t="inlineStr">
        <is>
          <t>Линейный тренд</t>
        </is>
      </c>
      <c r="C36" s="5">
        <f>TREND(C100:C104,A100:A104)</f>
        <v/>
      </c>
      <c r="D36" s="6" t="inlineStr">
        <is>
          <t>2;4;6;8;10</t>
        </is>
      </c>
      <c r="E36" s="4" t="inlineStr">
        <is>
          <t>Массив прогнозов</t>
        </is>
      </c>
    </row>
    <row r="37">
      <c r="A37" s="4" t="inlineStr">
        <is>
          <t>GROWTH</t>
        </is>
      </c>
      <c r="B37" s="4" t="inlineStr">
        <is>
          <t>Экспоненциальный рост</t>
        </is>
      </c>
      <c r="C37" s="5">
        <f>GROWTH(A100:A104,C100:C104)</f>
        <v/>
      </c>
      <c r="D37" s="6" t="inlineStr">
        <is>
          <t>~10;20;30;40;50</t>
        </is>
      </c>
      <c r="E37" s="4" t="inlineStr">
        <is>
          <t>Экспоненциальный тренд</t>
        </is>
      </c>
    </row>
    <row r="38">
      <c r="A38" s="4" t="inlineStr">
        <is>
          <t>LINEST</t>
        </is>
      </c>
      <c r="B38" s="4" t="inlineStr">
        <is>
          <t>Линейная регрессия</t>
        </is>
      </c>
      <c r="C38" s="5">
        <f>LINEST(C100:C104,A100:A104)</f>
        <v/>
      </c>
      <c r="D38" s="6" t="inlineStr">
        <is>
          <t>2; 0</t>
        </is>
      </c>
      <c r="E38" s="4" t="inlineStr">
        <is>
          <t>Наклон; пересечение</t>
        </is>
      </c>
    </row>
    <row r="39">
      <c r="A39" s="4" t="inlineStr">
        <is>
          <t>LOGEST</t>
        </is>
      </c>
      <c r="B39" s="4" t="inlineStr">
        <is>
          <t>Экспоненциальная регрессия</t>
        </is>
      </c>
      <c r="C39" s="5">
        <f>LOGEST(A100:A104,C100:C104)</f>
        <v/>
      </c>
      <c r="D39" s="6" t="inlineStr">
        <is>
          <t>~1,65; ~6,07</t>
        </is>
      </c>
      <c r="E39" s="4" t="inlineStr">
        <is>
          <t>Экспоненциальная</t>
        </is>
      </c>
    </row>
    <row r="40">
      <c r="A40" s="4" t="inlineStr">
        <is>
          <t>MAX</t>
        </is>
      </c>
      <c r="B40" s="4" t="inlineStr">
        <is>
          <t>Максимум</t>
        </is>
      </c>
      <c r="C40" s="5">
        <f>MAX(A100:A109)</f>
        <v/>
      </c>
      <c r="D40" s="6" t="n">
        <v>100</v>
      </c>
      <c r="E40" s="4" t="inlineStr">
        <is>
          <t>Наибольшее</t>
        </is>
      </c>
    </row>
    <row r="41">
      <c r="A41" s="4" t="inlineStr">
        <is>
          <t>MAXA</t>
        </is>
      </c>
      <c r="B41" s="4" t="inlineStr">
        <is>
          <t>Максимум (все типы)</t>
        </is>
      </c>
      <c r="C41" s="5">
        <f>MAXA(10,20,"текст",40)</f>
        <v/>
      </c>
      <c r="D41" s="6" t="n">
        <v>40</v>
      </c>
      <c r="E41" s="4" t="inlineStr">
        <is>
          <t>Текст=0</t>
        </is>
      </c>
    </row>
    <row r="42">
      <c r="A42" s="4" t="inlineStr">
        <is>
          <t>MIN</t>
        </is>
      </c>
      <c r="B42" s="4" t="inlineStr">
        <is>
          <t>Минимум</t>
        </is>
      </c>
      <c r="C42" s="5">
        <f>MIN(A100:A109)</f>
        <v/>
      </c>
      <c r="D42" s="6" t="n">
        <v>10</v>
      </c>
      <c r="E42" s="4" t="inlineStr">
        <is>
          <t>Наименьшее</t>
        </is>
      </c>
    </row>
    <row r="43">
      <c r="A43" s="4" t="inlineStr">
        <is>
          <t>MINA</t>
        </is>
      </c>
      <c r="B43" s="4" t="inlineStr">
        <is>
          <t>Минимум (все типы)</t>
        </is>
      </c>
      <c r="C43" s="5">
        <f>MINA(10,20,"текст",40)</f>
        <v/>
      </c>
      <c r="D43" s="6" t="n">
        <v>0</v>
      </c>
      <c r="E43" s="4" t="inlineStr">
        <is>
          <t>Текст=0</t>
        </is>
      </c>
    </row>
    <row r="44">
      <c r="A44" s="4" t="inlineStr">
        <is>
          <t>LARGE</t>
        </is>
      </c>
      <c r="B44" s="4" t="inlineStr">
        <is>
          <t>K-е наибольшее</t>
        </is>
      </c>
      <c r="C44" s="5">
        <f>LARGE(A100:A109,2)</f>
        <v/>
      </c>
      <c r="D44" s="6" t="n">
        <v>90</v>
      </c>
      <c r="E44" s="4" t="inlineStr">
        <is>
          <t>2-е по величине</t>
        </is>
      </c>
    </row>
    <row r="45">
      <c r="A45" s="4" t="inlineStr">
        <is>
          <t>SMALL</t>
        </is>
      </c>
      <c r="B45" s="4" t="inlineStr">
        <is>
          <t>K-е наименьшее</t>
        </is>
      </c>
      <c r="C45" s="5">
        <f>SMALL(A100:A109,2)</f>
        <v/>
      </c>
      <c r="D45" s="6" t="n">
        <v>20</v>
      </c>
      <c r="E45" s="4" t="inlineStr">
        <is>
          <t>2-е с конца</t>
        </is>
      </c>
    </row>
    <row r="46">
      <c r="A46" s="4" t="inlineStr">
        <is>
          <t>PERCENTILE.INC</t>
        </is>
      </c>
      <c r="B46" s="4" t="inlineStr">
        <is>
          <t>Перцентиль (включая границы)</t>
        </is>
      </c>
      <c r="C46" s="5">
        <f>PERCENTILE.INC(A100:A109,0.5)</f>
        <v/>
      </c>
      <c r="D46" s="6" t="n">
        <v>55</v>
      </c>
      <c r="E46" s="4" t="inlineStr">
        <is>
          <t>50-й перцентиль = медиана</t>
        </is>
      </c>
    </row>
    <row r="47">
      <c r="A47" s="4" t="inlineStr">
        <is>
          <t>PERCENTILE.EXC</t>
        </is>
      </c>
      <c r="B47" s="4" t="inlineStr">
        <is>
          <t>Перцентиль (исключая границы)</t>
        </is>
      </c>
      <c r="C47" s="5">
        <f>PERCENTILE.EXC(A100:A109,0.5)</f>
        <v/>
      </c>
      <c r="D47" s="6" t="n">
        <v>55</v>
      </c>
      <c r="E47" s="4" t="inlineStr">
        <is>
          <t>Исключает 0% и 100%</t>
        </is>
      </c>
    </row>
    <row r="48">
      <c r="A48" s="4" t="inlineStr">
        <is>
          <t>QUARTILE</t>
        </is>
      </c>
      <c r="B48" s="4" t="inlineStr">
        <is>
          <t>Квартиль (устар.)</t>
        </is>
      </c>
      <c r="C48" s="5">
        <f>QUARTILE(A100:A109,2)</f>
        <v/>
      </c>
      <c r="D48" s="6" t="n">
        <v>55</v>
      </c>
      <c r="E48" s="4" t="inlineStr">
        <is>
          <t>2-й квартиль = медиана</t>
        </is>
      </c>
    </row>
    <row r="49">
      <c r="A49" s="4" t="inlineStr">
        <is>
          <t>QUARTILE.INC</t>
        </is>
      </c>
      <c r="B49" s="4" t="inlineStr">
        <is>
          <t>Квартиль (включая)</t>
        </is>
      </c>
      <c r="C49" s="5">
        <f>QUARTILE.INC(A100:A109,1)</f>
        <v/>
      </c>
      <c r="D49" s="6" t="n">
        <v>32.5</v>
      </c>
      <c r="E49" s="4" t="inlineStr">
        <is>
          <t>1-й квартиль (25%)</t>
        </is>
      </c>
    </row>
    <row r="50">
      <c r="A50" s="4" t="inlineStr">
        <is>
          <t>QUARTILE.EXC</t>
        </is>
      </c>
      <c r="B50" s="4" t="inlineStr">
        <is>
          <t>Квартиль (исключая)</t>
        </is>
      </c>
      <c r="C50" s="5">
        <f>QUARTILE.EXC(A100:A109,1)</f>
        <v/>
      </c>
      <c r="D50" s="6" t="n">
        <v>27.5</v>
      </c>
      <c r="E50" s="4" t="inlineStr">
        <is>
          <t>Исключает границы</t>
        </is>
      </c>
    </row>
    <row r="51">
      <c r="A51" s="4" t="inlineStr">
        <is>
          <t>PERCENTRANK.INC</t>
        </is>
      </c>
      <c r="B51" s="4" t="inlineStr">
        <is>
          <t>Процентный ранг (включая)</t>
        </is>
      </c>
      <c r="C51" s="5">
        <f>PERCENTRANK.INC(A100:A109,55)</f>
        <v/>
      </c>
      <c r="D51" s="6" t="n">
        <v>0.44</v>
      </c>
      <c r="E51" s="4" t="inlineStr">
        <is>
          <t>55 на 44-м процентиле</t>
        </is>
      </c>
    </row>
    <row r="52">
      <c r="A52" s="4" t="inlineStr">
        <is>
          <t>PERCENTRANK.EXC</t>
        </is>
      </c>
      <c r="B52" s="4" t="inlineStr">
        <is>
          <t>Процентный ранг (исключая)</t>
        </is>
      </c>
      <c r="C52" s="5">
        <f>PERCENTRANK.EXC(A100:A109,55)</f>
        <v/>
      </c>
      <c r="D52" s="6" t="n">
        <v>0.5</v>
      </c>
      <c r="E52" s="4" t="inlineStr">
        <is>
          <t>Исключая границы</t>
        </is>
      </c>
    </row>
    <row r="53">
      <c r="A53" s="4" t="inlineStr">
        <is>
          <t>RANK.EQ</t>
        </is>
      </c>
      <c r="B53" s="4" t="inlineStr">
        <is>
          <t>Ранг (равный)</t>
        </is>
      </c>
      <c r="C53" s="5">
        <f>RANK.EQ(55,A100:A109)</f>
        <v/>
      </c>
      <c r="D53" s="6" t="n">
        <v>6</v>
      </c>
      <c r="E53" s="4" t="inlineStr">
        <is>
          <t>55 — 6-е место</t>
        </is>
      </c>
    </row>
    <row r="54">
      <c r="A54" s="4" t="inlineStr">
        <is>
          <t>RANK.AVG</t>
        </is>
      </c>
      <c r="B54" s="4" t="inlineStr">
        <is>
          <t>Ранг (средний)</t>
        </is>
      </c>
      <c r="C54" s="5">
        <f>RANK.AVG(55,A100:A109)</f>
        <v/>
      </c>
      <c r="D54" s="6" t="n">
        <v>6</v>
      </c>
      <c r="E54" s="4" t="inlineStr">
        <is>
          <t>Средний ранг</t>
        </is>
      </c>
    </row>
    <row r="55">
      <c r="A55" s="4" t="inlineStr">
        <is>
          <t>PERMUT</t>
        </is>
      </c>
      <c r="B55" s="4" t="inlineStr">
        <is>
          <t>Перестановки</t>
        </is>
      </c>
      <c r="C55" s="5">
        <f>PERMUT(5,3)</f>
        <v/>
      </c>
      <c r="D55" s="6" t="n">
        <v>60</v>
      </c>
      <c r="E55" s="4" t="inlineStr">
        <is>
          <t>P(5,3) = 60</t>
        </is>
      </c>
    </row>
    <row r="56">
      <c r="A56" s="4" t="inlineStr">
        <is>
          <t>PERMUTATIONA</t>
        </is>
      </c>
      <c r="B56" s="4" t="inlineStr">
        <is>
          <t>Перестановки с повторениями</t>
        </is>
      </c>
      <c r="C56" s="5">
        <f>PERMUTATIONA(5,3)</f>
        <v/>
      </c>
      <c r="D56" s="6" t="n">
        <v>125</v>
      </c>
      <c r="E56" s="4" t="inlineStr">
        <is>
          <t>5³ = 125</t>
        </is>
      </c>
    </row>
    <row r="57">
      <c r="A57" s="4" t="inlineStr">
        <is>
          <t>COMBIN</t>
        </is>
      </c>
      <c r="B57" s="4" t="inlineStr">
        <is>
          <t>Сочетания</t>
        </is>
      </c>
      <c r="C57" s="5">
        <f>COMBIN(5,3)</f>
        <v/>
      </c>
      <c r="D57" s="6" t="n">
        <v>10</v>
      </c>
      <c r="E57" s="4" t="inlineStr">
        <is>
          <t>C(5,3) = 10</t>
        </is>
      </c>
    </row>
    <row r="58">
      <c r="A58" s="4" t="inlineStr">
        <is>
          <t>COMBINA</t>
        </is>
      </c>
      <c r="B58" s="4" t="inlineStr">
        <is>
          <t>Сочетания с повторениями</t>
        </is>
      </c>
      <c r="C58" s="5">
        <f>COMBINA(5,3)</f>
        <v/>
      </c>
      <c r="D58" s="6" t="n">
        <v>35</v>
      </c>
      <c r="E58" s="4" t="inlineStr">
        <is>
          <t>С повторениями</t>
        </is>
      </c>
    </row>
    <row r="59">
      <c r="A59" s="4" t="inlineStr">
        <is>
          <t>DEVSQ</t>
        </is>
      </c>
      <c r="B59" s="4" t="inlineStr">
        <is>
          <t>Сумма квадратов отклонений</t>
        </is>
      </c>
      <c r="C59" s="5">
        <f>DEVSQ(A100:A109)</f>
        <v/>
      </c>
      <c r="D59" s="6" t="n">
        <v>8250</v>
      </c>
      <c r="E59" s="4" t="inlineStr">
        <is>
          <t>Σ(x−x̄)²</t>
        </is>
      </c>
    </row>
    <row r="60">
      <c r="A60" s="4" t="inlineStr">
        <is>
          <t>AVEDEV</t>
        </is>
      </c>
      <c r="B60" s="4" t="inlineStr">
        <is>
          <t>Среднее отклонение</t>
        </is>
      </c>
      <c r="C60" s="5">
        <f>AVEDEV(A100:A109)</f>
        <v/>
      </c>
      <c r="D60" s="6" t="n">
        <v>27</v>
      </c>
      <c r="E60" s="4" t="inlineStr">
        <is>
          <t>Среднее |x−x̄|</t>
        </is>
      </c>
    </row>
    <row r="61">
      <c r="A61" s="4" t="inlineStr">
        <is>
          <t>GEOMEAN</t>
        </is>
      </c>
      <c r="B61" s="4" t="inlineStr">
        <is>
          <t>Среднее геометрическое</t>
        </is>
      </c>
      <c r="C61" s="5">
        <f>GEOMEAN(2,8)</f>
        <v/>
      </c>
      <c r="D61" s="6" t="n">
        <v>4</v>
      </c>
      <c r="E61" s="4" t="inlineStr">
        <is>
          <t>√(2·8) = 4</t>
        </is>
      </c>
    </row>
    <row r="62">
      <c r="A62" s="4" t="inlineStr">
        <is>
          <t>HARMEAN</t>
        </is>
      </c>
      <c r="B62" s="4" t="inlineStr">
        <is>
          <t>Среднее гармоническое</t>
        </is>
      </c>
      <c r="C62" s="5">
        <f>HARMEAN(2,4,8)</f>
        <v/>
      </c>
      <c r="D62" s="6" t="n">
        <v>3.43</v>
      </c>
      <c r="E62" s="4" t="inlineStr">
        <is>
          <t>3/(1/2+1/4+1/8)</t>
        </is>
      </c>
    </row>
    <row r="63">
      <c r="A63" s="4" t="inlineStr">
        <is>
          <t>TRIMMEAN</t>
        </is>
      </c>
      <c r="B63" s="4" t="inlineStr">
        <is>
          <t>Усечённое среднее</t>
        </is>
      </c>
      <c r="C63" s="5">
        <f>TRIMMEAN(A100:A109,0.2)</f>
        <v/>
      </c>
      <c r="D63" s="6" t="n">
        <v>55</v>
      </c>
      <c r="E63" s="4" t="inlineStr">
        <is>
          <t>Убирает 20% выбросов</t>
        </is>
      </c>
    </row>
    <row r="64">
      <c r="A64" s="4" t="inlineStr">
        <is>
          <t>FREQUENCY</t>
        </is>
      </c>
      <c r="B64" s="4" t="inlineStr">
        <is>
          <t>Частотный анализ</t>
        </is>
      </c>
      <c r="C64" s="5">
        <f>FREQUENCY(A100:A109,G100:G103)</f>
        <v/>
      </c>
      <c r="D64" s="6" t="inlineStr">
        <is>
          <t>2;2;2;4</t>
        </is>
      </c>
      <c r="E64" s="4" t="inlineStr">
        <is>
          <t>По интервалам</t>
        </is>
      </c>
    </row>
    <row r="65">
      <c r="A65" s="4" t="inlineStr">
        <is>
          <t>GAMMALN</t>
        </is>
      </c>
      <c r="B65" s="4" t="inlineStr">
        <is>
          <t>Натуральный логарифм гамма-функции</t>
        </is>
      </c>
      <c r="C65" s="5">
        <f>GAMMALN(5)</f>
        <v/>
      </c>
      <c r="D65" s="6" t="n">
        <v>3.18</v>
      </c>
      <c r="E65" s="4" t="inlineStr">
        <is>
          <t>ln(Γ(5)) = ln(24)</t>
        </is>
      </c>
    </row>
    <row r="66">
      <c r="A66" s="4" t="inlineStr">
        <is>
          <t>GAMMALN.PRECISE</t>
        </is>
      </c>
      <c r="B66" s="4" t="inlineStr">
        <is>
          <t>Точный ln(гамма)</t>
        </is>
      </c>
      <c r="C66" s="5">
        <f>GAMMALN.PRECISE(5)</f>
        <v/>
      </c>
      <c r="D66" s="6" t="n">
        <v>3.18</v>
      </c>
      <c r="E66" s="4" t="inlineStr">
        <is>
          <t>То же, точнее</t>
        </is>
      </c>
    </row>
    <row r="67">
      <c r="A67" s="4" t="inlineStr">
        <is>
          <t>BETA.DIST</t>
        </is>
      </c>
      <c r="B67" s="4" t="inlineStr">
        <is>
          <t>Бета-распределение</t>
        </is>
      </c>
      <c r="C67" s="5">
        <f>BETA.DIST(0.5,2,3,TRUE)</f>
        <v/>
      </c>
      <c r="D67" s="6" t="n">
        <v>0.6899999999999999</v>
      </c>
      <c r="E67" s="4" t="inlineStr">
        <is>
          <t>Кумулятивное</t>
        </is>
      </c>
    </row>
    <row r="68">
      <c r="A68" s="4" t="inlineStr">
        <is>
          <t>BETA.INV</t>
        </is>
      </c>
      <c r="B68" s="4" t="inlineStr">
        <is>
          <t>Обратное бета-распределение</t>
        </is>
      </c>
      <c r="C68" s="5">
        <f>BETA.INV(0.69,2,3)</f>
        <v/>
      </c>
      <c r="D68" s="6" t="n">
        <v>0.5</v>
      </c>
      <c r="E68" s="4" t="inlineStr">
        <is>
          <t>Обратная функция</t>
        </is>
      </c>
    </row>
    <row r="69">
      <c r="A69" s="4" t="inlineStr">
        <is>
          <t>BINOM.DIST</t>
        </is>
      </c>
      <c r="B69" s="4" t="inlineStr">
        <is>
          <t>Биномиальное распределение</t>
        </is>
      </c>
      <c r="C69" s="5">
        <f>BINOM.DIST(2,5,0.5,FALSE)</f>
        <v/>
      </c>
      <c r="D69" s="6" t="n">
        <v>0.31</v>
      </c>
      <c r="E69" s="4" t="inlineStr">
        <is>
          <t>P(X=2) при n=5, p=0,5</t>
        </is>
      </c>
    </row>
    <row r="70">
      <c r="A70" s="4" t="inlineStr">
        <is>
          <t>BINOM.INV</t>
        </is>
      </c>
      <c r="B70" s="4" t="inlineStr">
        <is>
          <t>Обратное биномиальное</t>
        </is>
      </c>
      <c r="C70" s="5">
        <f>BINOM.INV(5,0.5,0.31)</f>
        <v/>
      </c>
      <c r="D70" s="6" t="n">
        <v>2</v>
      </c>
      <c r="E70" s="4" t="inlineStr">
        <is>
          <t>Минимальное k</t>
        </is>
      </c>
    </row>
    <row r="71">
      <c r="A71" s="4" t="inlineStr">
        <is>
          <t>CHISQ.DIST</t>
        </is>
      </c>
      <c r="B71" s="4" t="inlineStr">
        <is>
          <t>Хи-квадрат распределение</t>
        </is>
      </c>
      <c r="C71" s="5">
        <f>CHISQ.DIST(3,2,TRUE)</f>
        <v/>
      </c>
      <c r="D71" s="6" t="n">
        <v>0.78</v>
      </c>
      <c r="E71" s="4" t="inlineStr">
        <is>
          <t>Кумулятивное</t>
        </is>
      </c>
    </row>
    <row r="72">
      <c r="A72" s="4" t="inlineStr">
        <is>
          <t>CHISQ.INV</t>
        </is>
      </c>
      <c r="B72" s="4" t="inlineStr">
        <is>
          <t>Обратное хи-квадрат</t>
        </is>
      </c>
      <c r="C72" s="5">
        <f>CHISQ.INV(0.78,2)</f>
        <v/>
      </c>
      <c r="D72" s="6" t="n">
        <v>3</v>
      </c>
      <c r="E72" s="4" t="inlineStr">
        <is>
          <t>Обратная функция</t>
        </is>
      </c>
    </row>
    <row r="73">
      <c r="A73" s="4" t="inlineStr">
        <is>
          <t>CHISQ.TEST</t>
        </is>
      </c>
      <c r="B73" s="4" t="inlineStr">
        <is>
          <t>Тест хи-квадрат</t>
        </is>
      </c>
      <c r="C73" s="5">
        <f>CHISQ.TEST(A100:A104,C100:C104)</f>
        <v/>
      </c>
      <c r="D73" s="6" t="n">
        <v>1</v>
      </c>
      <c r="E73" s="4" t="inlineStr">
        <is>
          <t>Тест независимости</t>
        </is>
      </c>
    </row>
    <row r="74">
      <c r="A74" s="4" t="inlineStr">
        <is>
          <t>CONFIDENCE.NORM</t>
        </is>
      </c>
      <c r="B74" s="4" t="inlineStr">
        <is>
          <t>Доверительный интервал (норм.)</t>
        </is>
      </c>
      <c r="C74" s="5">
        <f>CONFIDENCE.NORM(0.05,10,100)</f>
        <v/>
      </c>
      <c r="D74" s="6" t="n">
        <v>1.96</v>
      </c>
      <c r="E74" s="4" t="inlineStr">
        <is>
          <t>Для нормального распределения</t>
        </is>
      </c>
    </row>
    <row r="75">
      <c r="A75" s="4" t="inlineStr">
        <is>
          <t>CONFIDENCE.T</t>
        </is>
      </c>
      <c r="B75" s="4" t="inlineStr">
        <is>
          <t>Доверительный интервал (t)</t>
        </is>
      </c>
      <c r="C75" s="5">
        <f>CONFIDENCE.T(0.05,10,100)</f>
        <v/>
      </c>
      <c r="D75" s="6" t="n">
        <v>1.98</v>
      </c>
      <c r="E75" s="4" t="inlineStr">
        <is>
          <t>Для t-распределения</t>
        </is>
      </c>
    </row>
    <row r="76">
      <c r="A76" s="4" t="inlineStr">
        <is>
          <t>EXPON.DIST</t>
        </is>
      </c>
      <c r="B76" s="4" t="inlineStr">
        <is>
          <t>Экспоненциальное распределение</t>
        </is>
      </c>
      <c r="C76" s="5">
        <f>EXPON.DIST(1,1,TRUE)</f>
        <v/>
      </c>
      <c r="D76" s="6" t="n">
        <v>0.63</v>
      </c>
      <c r="E76" s="4" t="inlineStr">
        <is>
          <t>Кумулятивное</t>
        </is>
      </c>
    </row>
    <row r="77">
      <c r="A77" s="4" t="inlineStr">
        <is>
          <t>F.DIST</t>
        </is>
      </c>
      <c r="B77" s="4" t="inlineStr">
        <is>
          <t>F-распределение</t>
        </is>
      </c>
      <c r="C77" s="5">
        <f>F.DIST(1,2,3,TRUE)</f>
        <v/>
      </c>
      <c r="D77" s="6" t="n">
        <v>0.61</v>
      </c>
      <c r="E77" s="4" t="inlineStr">
        <is>
          <t>Кумулятивное</t>
        </is>
      </c>
    </row>
    <row r="78">
      <c r="A78" s="4" t="inlineStr">
        <is>
          <t>F.INV</t>
        </is>
      </c>
      <c r="B78" s="4" t="inlineStr">
        <is>
          <t>Обратное F-распределение</t>
        </is>
      </c>
      <c r="C78" s="5">
        <f>F.INV(0.61,2,3)</f>
        <v/>
      </c>
      <c r="D78" s="6" t="n">
        <v>1</v>
      </c>
      <c r="E78" s="4" t="inlineStr">
        <is>
          <t>Обратная функция</t>
        </is>
      </c>
    </row>
    <row r="79">
      <c r="A79" s="4" t="inlineStr">
        <is>
          <t>F.TEST</t>
        </is>
      </c>
      <c r="B79" s="4" t="inlineStr">
        <is>
          <t>F-тест</t>
        </is>
      </c>
      <c r="C79" s="5">
        <f>F.TEST(A100:A104,C100:C104)</f>
        <v/>
      </c>
      <c r="D79" s="6" t="n">
        <v>0.04</v>
      </c>
      <c r="E79" s="4" t="inlineStr">
        <is>
          <t>Сравнение дисперсий</t>
        </is>
      </c>
    </row>
    <row r="80">
      <c r="A80" s="4" t="inlineStr">
        <is>
          <t>GAMMA.DIST</t>
        </is>
      </c>
      <c r="B80" s="4" t="inlineStr">
        <is>
          <t>Гамма-распределение</t>
        </is>
      </c>
      <c r="C80" s="5">
        <f>GAMMA.DIST(2,2,1,TRUE)</f>
        <v/>
      </c>
      <c r="D80" s="6" t="n">
        <v>0.59</v>
      </c>
      <c r="E80" s="4" t="inlineStr">
        <is>
          <t>Кумулятивное</t>
        </is>
      </c>
    </row>
    <row r="81">
      <c r="A81" s="4" t="inlineStr">
        <is>
          <t>GAMMA.INV</t>
        </is>
      </c>
      <c r="B81" s="4" t="inlineStr">
        <is>
          <t>Обратное гамма-распределение</t>
        </is>
      </c>
      <c r="C81" s="5">
        <f>GAMMA.INV(0.59,2,1)</f>
        <v/>
      </c>
      <c r="D81" s="6" t="n">
        <v>2</v>
      </c>
      <c r="E81" s="4" t="inlineStr">
        <is>
          <t>Обратная функция</t>
        </is>
      </c>
    </row>
    <row r="82">
      <c r="A82" s="4" t="inlineStr">
        <is>
          <t>HYPGEOM.DIST</t>
        </is>
      </c>
      <c r="B82" s="4" t="inlineStr">
        <is>
          <t>Гипергеометрическое распределение</t>
        </is>
      </c>
      <c r="C82" s="5">
        <f>HYPGEOM.DIST(1,2,3,10,FALSE)</f>
        <v/>
      </c>
      <c r="D82" s="6" t="n">
        <v>0.47</v>
      </c>
      <c r="E82" s="4" t="inlineStr">
        <is>
          <t>Без возвращения</t>
        </is>
      </c>
    </row>
    <row r="83">
      <c r="A83" s="4" t="inlineStr">
        <is>
          <t>LOGNORM.DIST</t>
        </is>
      </c>
      <c r="B83" s="4" t="inlineStr">
        <is>
          <t>Логнормальное распределение</t>
        </is>
      </c>
      <c r="C83" s="5">
        <f>LOGNORM.DIST(2,0,1,TRUE)</f>
        <v/>
      </c>
      <c r="D83" s="6" t="n">
        <v>0.76</v>
      </c>
      <c r="E83" s="4" t="inlineStr">
        <is>
          <t>Кумулятивное</t>
        </is>
      </c>
    </row>
    <row r="84">
      <c r="A84" s="4" t="inlineStr">
        <is>
          <t>LOGNORM.INV</t>
        </is>
      </c>
      <c r="B84" s="4" t="inlineStr">
        <is>
          <t>Обратное логнормальное</t>
        </is>
      </c>
      <c r="C84" s="5">
        <f>LOGNORM.INV(0.76,0,1)</f>
        <v/>
      </c>
      <c r="D84" s="6" t="n">
        <v>2</v>
      </c>
      <c r="E84" s="4" t="inlineStr">
        <is>
          <t>Обратная функция</t>
        </is>
      </c>
    </row>
    <row r="85">
      <c r="A85" s="4" t="inlineStr">
        <is>
          <t>NEGBINOM.DIST</t>
        </is>
      </c>
      <c r="B85" s="4" t="inlineStr">
        <is>
          <t>Отрицательное биномиальное</t>
        </is>
      </c>
      <c r="C85" s="5">
        <f>NEGBINOM.DIST(1,2,0.5,FALSE)</f>
        <v/>
      </c>
      <c r="D85" s="6" t="n">
        <v>0.25</v>
      </c>
      <c r="E85" s="4" t="inlineStr">
        <is>
          <t>P(X=1)</t>
        </is>
      </c>
    </row>
    <row r="86">
      <c r="A86" s="4" t="inlineStr">
        <is>
          <t>NORM.DIST</t>
        </is>
      </c>
      <c r="B86" s="4" t="inlineStr">
        <is>
          <t>Нормальное распределение</t>
        </is>
      </c>
      <c r="C86" s="5">
        <f>NORM.DIST(0,0,1,TRUE)</f>
        <v/>
      </c>
      <c r="D86" s="6" t="n">
        <v>0.5</v>
      </c>
      <c r="E86" s="4" t="inlineStr">
        <is>
          <t>P(X≤0) при N(0,1)</t>
        </is>
      </c>
    </row>
    <row r="87">
      <c r="A87" s="4" t="inlineStr">
        <is>
          <t>NORM.INV</t>
        </is>
      </c>
      <c r="B87" s="4" t="inlineStr">
        <is>
          <t>Обратное нормальное</t>
        </is>
      </c>
      <c r="C87" s="5">
        <f>NORM.INV(0.5,0,1)</f>
        <v/>
      </c>
      <c r="D87" s="6" t="n">
        <v>0</v>
      </c>
      <c r="E87" s="4" t="inlineStr">
        <is>
          <t>Обратная функция</t>
        </is>
      </c>
    </row>
    <row r="88">
      <c r="A88" s="4" t="inlineStr">
        <is>
          <t>NORM.S.DIST</t>
        </is>
      </c>
      <c r="B88" s="4" t="inlineStr">
        <is>
          <t>Стандартное нормальное</t>
        </is>
      </c>
      <c r="C88" s="5">
        <f>NORM.S.DIST(0,TRUE)</f>
        <v/>
      </c>
      <c r="D88" s="6" t="n">
        <v>0.5</v>
      </c>
      <c r="E88" s="4" t="inlineStr">
        <is>
          <t>P(Z≤0)</t>
        </is>
      </c>
    </row>
    <row r="89">
      <c r="A89" s="4" t="inlineStr">
        <is>
          <t>NORM.S.INV</t>
        </is>
      </c>
      <c r="B89" s="4" t="inlineStr">
        <is>
          <t>Обратное стандартное нормальное</t>
        </is>
      </c>
      <c r="C89" s="5">
        <f>NORM.S.INV(0.5)</f>
        <v/>
      </c>
      <c r="D89" s="6" t="n">
        <v>0</v>
      </c>
      <c r="E89" s="4" t="inlineStr">
        <is>
          <t>Z для P=0,5</t>
        </is>
      </c>
    </row>
    <row r="90">
      <c r="A90" s="4" t="inlineStr">
        <is>
          <t>POISSON.DIST</t>
        </is>
      </c>
      <c r="B90" s="4" t="inlineStr">
        <is>
          <t>Распределение Пуассона</t>
        </is>
      </c>
      <c r="C90" s="5">
        <f>POISSON.DIST(2,3,FALSE)</f>
        <v/>
      </c>
      <c r="D90" s="6" t="n">
        <v>0.22</v>
      </c>
      <c r="E90" s="4" t="inlineStr">
        <is>
          <t>P(X=2) при λ=3</t>
        </is>
      </c>
    </row>
    <row r="91">
      <c r="A91" s="4" t="inlineStr">
        <is>
          <t>PROB</t>
        </is>
      </c>
      <c r="B91" s="4" t="inlineStr">
        <is>
          <t>Вероятность интервала</t>
        </is>
      </c>
      <c r="C91" s="5">
        <f>PROB(A100:A104,{0.1,0.2,0.3,0.4,0.5},20,40)</f>
        <v/>
      </c>
      <c r="D91" s="6" t="n">
        <v>0.5</v>
      </c>
      <c r="E91" s="4" t="inlineStr">
        <is>
          <t>P(20≤X≤40)</t>
        </is>
      </c>
    </row>
    <row r="92">
      <c r="A92" s="4" t="inlineStr">
        <is>
          <t>STANDARDIZE</t>
        </is>
      </c>
      <c r="B92" s="4" t="inlineStr">
        <is>
          <t>Стандартизация</t>
        </is>
      </c>
      <c r="C92" s="5">
        <f>STANDARDIZE(75,55,30.28)</f>
        <v/>
      </c>
      <c r="D92" s="6" t="n">
        <v>0.66</v>
      </c>
      <c r="E92" s="4" t="inlineStr">
        <is>
          <t>Z=(X−μ)/σ</t>
        </is>
      </c>
    </row>
    <row r="93">
      <c r="A93" s="4" t="inlineStr">
        <is>
          <t>T.DIST</t>
        </is>
      </c>
      <c r="B93" s="4" t="inlineStr">
        <is>
          <t>t-распределение</t>
        </is>
      </c>
      <c r="C93" s="5">
        <f>T.DIST(0,5,TRUE)</f>
        <v/>
      </c>
      <c r="D93" s="6" t="n">
        <v>0.5</v>
      </c>
      <c r="E93" s="4" t="inlineStr">
        <is>
          <t>P(T≤0) при df=5</t>
        </is>
      </c>
    </row>
    <row r="94">
      <c r="A94" s="4" t="inlineStr">
        <is>
          <t>T.INV</t>
        </is>
      </c>
      <c r="B94" s="4" t="inlineStr">
        <is>
          <t>Обратное t-распределение</t>
        </is>
      </c>
      <c r="C94" s="5">
        <f>T.INV(0.5,5)</f>
        <v/>
      </c>
      <c r="D94" s="6" t="n">
        <v>0</v>
      </c>
      <c r="E94" s="4" t="inlineStr">
        <is>
          <t>Обратная функция</t>
        </is>
      </c>
    </row>
    <row r="95">
      <c r="A95" s="4" t="inlineStr">
        <is>
          <t>T.TEST</t>
        </is>
      </c>
      <c r="B95" s="4" t="inlineStr">
        <is>
          <t>t-тест</t>
        </is>
      </c>
      <c r="C95" s="5">
        <f>T.TEST(A100:A104,C100:C104,2,1)</f>
        <v/>
      </c>
      <c r="D95" s="6" t="n">
        <v>0.08</v>
      </c>
      <c r="E95" s="4" t="inlineStr">
        <is>
          <t>Двусторонний, парный</t>
        </is>
      </c>
    </row>
    <row r="96">
      <c r="A96" s="4" t="inlineStr">
        <is>
          <t>WEIBULL.DIST</t>
        </is>
      </c>
      <c r="B96" s="4" t="inlineStr">
        <is>
          <t>Распределение Вейбулла</t>
        </is>
      </c>
      <c r="C96" s="5">
        <f>WEIBULL.DIST(1,2,1,TRUE)</f>
        <v/>
      </c>
      <c r="D96" s="6" t="n">
        <v>0.63</v>
      </c>
      <c r="E96" s="4" t="inlineStr">
        <is>
          <t>Кумулятивное</t>
        </is>
      </c>
    </row>
    <row r="97">
      <c r="A97" s="4" t="inlineStr">
        <is>
          <t>Z.TEST</t>
        </is>
      </c>
      <c r="B97" s="4" t="inlineStr">
        <is>
          <t>Z-тест</t>
        </is>
      </c>
      <c r="C97" s="5">
        <f>Z.TEST(A100:A109,55)</f>
        <v/>
      </c>
      <c r="D97" s="6" t="n">
        <v>0.5</v>
      </c>
      <c r="E97" s="4" t="inlineStr">
        <is>
          <t>P-значение</t>
        </is>
      </c>
    </row>
    <row r="98">
      <c r="A98" s="4" t="inlineStr">
        <is>
          <t>PHI</t>
        </is>
      </c>
      <c r="B98" s="4" t="inlineStr">
        <is>
          <t>Функция плотности станд. норм.</t>
        </is>
      </c>
      <c r="C98" s="5">
        <f>PHI(0)</f>
        <v/>
      </c>
      <c r="D98" s="6" t="n">
        <v>0.4</v>
      </c>
      <c r="E98" s="4" t="inlineStr">
        <is>
          <t>φ(0) = 1/√(2π) ≈ 0,399</t>
        </is>
      </c>
    </row>
    <row r="99">
      <c r="A99" s="4" t="inlineStr">
        <is>
          <t>GAUSS</t>
        </is>
      </c>
      <c r="B99" s="4" t="inlineStr">
        <is>
          <t>Интеграл станд. норм.</t>
        </is>
      </c>
      <c r="C99" s="5">
        <f>GAUSS(0)</f>
        <v/>
      </c>
      <c r="D99" s="6" t="n">
        <v>0</v>
      </c>
      <c r="E99" s="4" t="inlineStr">
        <is>
          <t>Φ(0) − 0,5 = 0</t>
        </is>
      </c>
    </row>
    <row r="100">
      <c r="A100" s="7" t="inlineStr">
        <is>
          <t>X: A100:A109</t>
        </is>
      </c>
      <c r="C100" s="7" t="inlineStr">
        <is>
          <t>Y: C100:C109</t>
        </is>
      </c>
      <c r="E100" s="7" t="inlineStr">
        <is>
          <t>Z: E100:E104</t>
        </is>
      </c>
      <c r="G100" s="7" t="inlineStr">
        <is>
          <t>Интервалы: G100:G103</t>
        </is>
      </c>
    </row>
    <row r="101">
      <c r="A101" s="2" t="n">
        <v>10</v>
      </c>
      <c r="C101" s="2" t="n">
        <v>2</v>
      </c>
      <c r="E101" s="2" t="n">
        <v>10</v>
      </c>
      <c r="G101" s="2" t="n">
        <v>20</v>
      </c>
    </row>
    <row r="102">
      <c r="A102" s="2" t="n">
        <v>20</v>
      </c>
      <c r="C102" s="2" t="n">
        <v>4</v>
      </c>
      <c r="E102" s="2" t="n">
        <v>25</v>
      </c>
      <c r="G102" s="2" t="n">
        <v>40</v>
      </c>
    </row>
    <row r="103">
      <c r="A103" s="2" t="n">
        <v>30</v>
      </c>
      <c r="C103" s="2" t="n">
        <v>6</v>
      </c>
      <c r="E103" s="2" t="n">
        <v>40</v>
      </c>
      <c r="G103" s="2" t="n">
        <v>60</v>
      </c>
    </row>
    <row r="104">
      <c r="A104" s="2" t="n">
        <v>40</v>
      </c>
      <c r="C104" s="2" t="n">
        <v>8</v>
      </c>
      <c r="E104" s="2" t="n">
        <v>55</v>
      </c>
      <c r="G104" s="2" t="n">
        <v>80</v>
      </c>
    </row>
    <row r="105">
      <c r="A105" s="2" t="n">
        <v>50</v>
      </c>
      <c r="C105" s="2" t="n">
        <v>10</v>
      </c>
      <c r="E105" s="2" t="n">
        <v>75</v>
      </c>
    </row>
    <row r="106">
      <c r="A106" s="2" t="n">
        <v>60</v>
      </c>
      <c r="C106" s="2" t="n">
        <v>12</v>
      </c>
    </row>
    <row r="107">
      <c r="A107" s="2" t="n">
        <v>70</v>
      </c>
      <c r="C107" s="2" t="n">
        <v>14</v>
      </c>
    </row>
    <row r="108">
      <c r="A108" s="2" t="n">
        <v>80</v>
      </c>
      <c r="C108" s="2" t="n">
        <v>16</v>
      </c>
    </row>
    <row r="109">
      <c r="A109" s="2" t="n">
        <v>90</v>
      </c>
      <c r="C109" s="2" t="n">
        <v>18</v>
      </c>
    </row>
    <row r="110">
      <c r="A110" s="2" t="n">
        <v>100</v>
      </c>
      <c r="C110" s="2" t="n">
        <v>20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52" customWidth="1" min="3" max="3"/>
    <col width="22" customWidth="1" min="4" max="4"/>
    <col width="45" customWidth="1" min="5" max="5"/>
  </cols>
  <sheetData>
    <row r="1">
      <c r="A1" s="1" t="inlineStr">
        <is>
          <t>ТЕКСТОВЫЕ ФУНКЦИИ</t>
        </is>
      </c>
      <c r="B1" s="2" t="n"/>
      <c r="C1" s="2" t="n"/>
      <c r="D1" s="2" t="n"/>
      <c r="E1" s="2" t="n"/>
    </row>
    <row r="2">
      <c r="A2" s="3" t="inlineStr">
        <is>
          <t>Функция</t>
        </is>
      </c>
      <c r="B2" s="3" t="inlineStr">
        <is>
          <t>Описание</t>
        </is>
      </c>
      <c r="C2" s="3" t="inlineStr">
        <is>
          <t>Формула</t>
        </is>
      </c>
      <c r="D2" s="3" t="inlineStr">
        <is>
          <t>Результат</t>
        </is>
      </c>
      <c r="E2" s="3" t="inlineStr">
        <is>
          <t>Примечания</t>
        </is>
      </c>
    </row>
    <row r="3">
      <c r="A3" s="4" t="inlineStr">
        <is>
          <t>CONCAT</t>
        </is>
      </c>
      <c r="B3" s="4" t="inlineStr">
        <is>
          <t>Объединение текста</t>
        </is>
      </c>
      <c r="C3" s="5">
        <f>CONCAT("Привет, ","Мир!")</f>
        <v/>
      </c>
      <c r="D3" s="6" t="inlineStr">
        <is>
          <t>Привет, Мир!</t>
        </is>
      </c>
      <c r="E3" s="4" t="inlineStr">
        <is>
          <t>Объединяет аргументы</t>
        </is>
      </c>
    </row>
    <row r="4">
      <c r="A4" s="4" t="inlineStr">
        <is>
          <t>CONCATENATE</t>
        </is>
      </c>
      <c r="B4" s="4" t="inlineStr">
        <is>
          <t>Объединение (устар.)</t>
        </is>
      </c>
      <c r="C4" s="5">
        <f>CONCATENATE("A","B","C")</f>
        <v/>
      </c>
      <c r="D4" s="6" t="inlineStr">
        <is>
          <t>ABC</t>
        </is>
      </c>
      <c r="E4" s="4" t="inlineStr">
        <is>
          <t>Устаревшая версия</t>
        </is>
      </c>
    </row>
    <row r="5">
      <c r="A5" s="4" t="inlineStr">
        <is>
          <t>TEXTJOIN</t>
        </is>
      </c>
      <c r="B5" s="4" t="inlineStr">
        <is>
          <t>Объединение с разделителем</t>
        </is>
      </c>
      <c r="C5" s="5">
        <f>TEXTJOIN("; ",TRUE,"A","B","C")</f>
        <v/>
      </c>
      <c r="D5" s="6" t="inlineStr">
        <is>
          <t>A; B; C</t>
        </is>
      </c>
      <c r="E5" s="4" t="inlineStr">
        <is>
          <t>Excel 2019+</t>
        </is>
      </c>
    </row>
    <row r="6">
      <c r="A6" s="4" t="inlineStr">
        <is>
          <t>TEXTJOIN</t>
        </is>
      </c>
      <c r="B6" s="4" t="inlineStr">
        <is>
          <t>Объединение диапазона</t>
        </is>
      </c>
      <c r="C6" s="5">
        <f>TEXTJOIN(", ",TRUE,A100:A104)</f>
        <v/>
      </c>
      <c r="D6" s="6" t="inlineStr">
        <is>
          <t>Иванов, Петров, Сидоров, Кузнецов, Смирнов</t>
        </is>
      </c>
      <c r="E6" s="4" t="inlineStr">
        <is>
          <t>Объединяет диапазон</t>
        </is>
      </c>
    </row>
    <row r="7">
      <c r="A7" s="4" t="inlineStr">
        <is>
          <t>LEFT</t>
        </is>
      </c>
      <c r="B7" s="4" t="inlineStr">
        <is>
          <t>Символы слева</t>
        </is>
      </c>
      <c r="C7" s="5">
        <f>LEFT("Excel",3)</f>
        <v/>
      </c>
      <c r="D7" s="6" t="inlineStr">
        <is>
          <t>Exc</t>
        </is>
      </c>
      <c r="E7" s="4" t="inlineStr">
        <is>
          <t>Первые 3 символа</t>
        </is>
      </c>
    </row>
    <row r="8">
      <c r="A8" s="4" t="inlineStr">
        <is>
          <t>LEFTB</t>
        </is>
      </c>
      <c r="B8" s="4" t="inlineStr">
        <is>
          <t>Символы слева (байты)</t>
        </is>
      </c>
      <c r="C8" s="5">
        <f>LEFTB("Excel",3)</f>
        <v/>
      </c>
      <c r="D8" s="6" t="inlineStr">
        <is>
          <t>Exc</t>
        </is>
      </c>
      <c r="E8" s="4" t="inlineStr">
        <is>
          <t>Для двухбайтовых кодировок</t>
        </is>
      </c>
    </row>
    <row r="9">
      <c r="A9" s="4" t="inlineStr">
        <is>
          <t>RIGHT</t>
        </is>
      </c>
      <c r="B9" s="4" t="inlineStr">
        <is>
          <t>Символы справа</t>
        </is>
      </c>
      <c r="C9" s="5">
        <f>RIGHT("Excel",3)</f>
        <v/>
      </c>
      <c r="D9" s="6" t="inlineStr">
        <is>
          <t>cel</t>
        </is>
      </c>
      <c r="E9" s="4" t="inlineStr">
        <is>
          <t>Последние 3 символа</t>
        </is>
      </c>
    </row>
    <row r="10">
      <c r="A10" s="4" t="inlineStr">
        <is>
          <t>RIGHTB</t>
        </is>
      </c>
      <c r="B10" s="4" t="inlineStr">
        <is>
          <t>Символы справа (байты)</t>
        </is>
      </c>
      <c r="C10" s="5">
        <f>RIGHTB("Excel",3)</f>
        <v/>
      </c>
      <c r="D10" s="6" t="inlineStr">
        <is>
          <t>cel</t>
        </is>
      </c>
      <c r="E10" s="4" t="inlineStr">
        <is>
          <t>Для двухбайтовых кодировок</t>
        </is>
      </c>
    </row>
    <row r="11">
      <c r="A11" s="4" t="inlineStr">
        <is>
          <t>MID</t>
        </is>
      </c>
      <c r="B11" s="4" t="inlineStr">
        <is>
          <t>Символы из середины</t>
        </is>
      </c>
      <c r="C11" s="5">
        <f>MID("Excel",2,3)</f>
        <v/>
      </c>
      <c r="D11" s="6" t="inlineStr">
        <is>
          <t>xce</t>
        </is>
      </c>
      <c r="E11" s="4" t="inlineStr">
        <is>
          <t>3 символа с позиции 2</t>
        </is>
      </c>
    </row>
    <row r="12">
      <c r="A12" s="4" t="inlineStr">
        <is>
          <t>MIDB</t>
        </is>
      </c>
      <c r="B12" s="4" t="inlineStr">
        <is>
          <t>Символы из середины (байты)</t>
        </is>
      </c>
      <c r="C12" s="5">
        <f>MIDB("Excel",2,3)</f>
        <v/>
      </c>
      <c r="D12" s="6" t="inlineStr">
        <is>
          <t>xce</t>
        </is>
      </c>
      <c r="E12" s="4" t="inlineStr">
        <is>
          <t>Для двухбайтовых кодировок</t>
        </is>
      </c>
    </row>
    <row r="13">
      <c r="A13" s="4" t="inlineStr">
        <is>
          <t>LEN</t>
        </is>
      </c>
      <c r="B13" s="4" t="inlineStr">
        <is>
          <t>Длина текста</t>
        </is>
      </c>
      <c r="C13" s="5">
        <f>LEN("Excel 2024")</f>
        <v/>
      </c>
      <c r="D13" s="6" t="n">
        <v>10</v>
      </c>
      <c r="E13" s="4" t="inlineStr">
        <is>
          <t>Количество символов</t>
        </is>
      </c>
    </row>
    <row r="14">
      <c r="A14" s="4" t="inlineStr">
        <is>
          <t>LENB</t>
        </is>
      </c>
      <c r="B14" s="4" t="inlineStr">
        <is>
          <t>Длина в байтах</t>
        </is>
      </c>
      <c r="C14" s="5">
        <f>LENB("Excel")</f>
        <v/>
      </c>
      <c r="D14" s="6" t="n">
        <v>5</v>
      </c>
      <c r="E14" s="4" t="inlineStr">
        <is>
          <t>Для двухбайтовых кодировок</t>
        </is>
      </c>
    </row>
    <row r="15">
      <c r="A15" s="4" t="inlineStr">
        <is>
          <t>FIND</t>
        </is>
      </c>
      <c r="B15" s="4" t="inlineStr">
        <is>
          <t>Поиск с учётом регистра</t>
        </is>
      </c>
      <c r="C15" s="5">
        <f>FIND("e","Excel")</f>
        <v/>
      </c>
      <c r="D15" s="6" t="n">
        <v>2</v>
      </c>
      <c r="E15" s="4" t="inlineStr">
        <is>
          <t>Позиция первого 'e'</t>
        </is>
      </c>
    </row>
    <row r="16">
      <c r="A16" s="4" t="inlineStr">
        <is>
          <t>FINDB</t>
        </is>
      </c>
      <c r="B16" s="4" t="inlineStr">
        <is>
          <t>Поиск с учётом регистра (байты)</t>
        </is>
      </c>
      <c r="C16" s="5">
        <f>FINDB("e","Excel")</f>
        <v/>
      </c>
      <c r="D16" s="6" t="n">
        <v>2</v>
      </c>
      <c r="E16" s="4" t="inlineStr">
        <is>
          <t>Для двухбайтовых кодировок</t>
        </is>
      </c>
    </row>
    <row r="17">
      <c r="A17" s="4" t="inlineStr">
        <is>
          <t>SEARCH</t>
        </is>
      </c>
      <c r="B17" s="4" t="inlineStr">
        <is>
          <t>Поиск без учёта регистра</t>
        </is>
      </c>
      <c r="C17" s="5">
        <f>SEARCH("E","excel")</f>
        <v/>
      </c>
      <c r="D17" s="6" t="n">
        <v>1</v>
      </c>
      <c r="E17" s="4" t="inlineStr">
        <is>
          <t>Регистр не важен</t>
        </is>
      </c>
    </row>
    <row r="18">
      <c r="A18" s="4" t="inlineStr">
        <is>
          <t>SEARCHB</t>
        </is>
      </c>
      <c r="B18" s="4" t="inlineStr">
        <is>
          <t>Поиск без регистра (байты)</t>
        </is>
      </c>
      <c r="C18" s="5">
        <f>SEARCHB("E","excel")</f>
        <v/>
      </c>
      <c r="D18" s="6" t="n">
        <v>1</v>
      </c>
      <c r="E18" s="4" t="inlineStr">
        <is>
          <t>Для двухбайтовых кодировок</t>
        </is>
      </c>
    </row>
    <row r="19">
      <c r="A19" s="4" t="inlineStr">
        <is>
          <t>REPLACE</t>
        </is>
      </c>
      <c r="B19" s="4" t="inlineStr">
        <is>
          <t>Замена по позиции</t>
        </is>
      </c>
      <c r="C19" s="5">
        <f>REPLACE("Excel",2,3,"yyy")</f>
        <v/>
      </c>
      <c r="D19" s="6" t="inlineStr">
        <is>
          <t>Eyyyl</t>
        </is>
      </c>
      <c r="E19" s="4" t="inlineStr">
        <is>
          <t>Заменяет 3 символа с поз.2</t>
        </is>
      </c>
    </row>
    <row r="20">
      <c r="A20" s="4" t="inlineStr">
        <is>
          <t>REPLACEB</t>
        </is>
      </c>
      <c r="B20" s="4" t="inlineStr">
        <is>
          <t>Замена по позиции (байты)</t>
        </is>
      </c>
      <c r="C20" s="5">
        <f>REPLACEB("Excel",2,3,"yyy")</f>
        <v/>
      </c>
      <c r="D20" s="6" t="inlineStr">
        <is>
          <t>Eyyyl</t>
        </is>
      </c>
      <c r="E20" s="4" t="inlineStr">
        <is>
          <t>Для двухбайтовых кодировок</t>
        </is>
      </c>
    </row>
    <row r="21">
      <c r="A21" s="4" t="inlineStr">
        <is>
          <t>SUBSTITUTE</t>
        </is>
      </c>
      <c r="B21" s="4" t="inlineStr">
        <is>
          <t>Замена текста</t>
        </is>
      </c>
      <c r="C21" s="5">
        <f>SUBSTITUTE("banana","a","o")</f>
        <v/>
      </c>
      <c r="D21" s="6" t="inlineStr">
        <is>
          <t>bonono</t>
        </is>
      </c>
      <c r="E21" s="4" t="inlineStr">
        <is>
          <t>Меняет все 'a' на 'o'</t>
        </is>
      </c>
    </row>
    <row r="22">
      <c r="A22" s="4" t="inlineStr">
        <is>
          <t>SUBSTITUTE</t>
        </is>
      </c>
      <c r="B22" s="4" t="inlineStr">
        <is>
          <t>Замена N-го вхождения</t>
        </is>
      </c>
      <c r="C22" s="5">
        <f>SUBSTITUTE("banana","a","o",2)</f>
        <v/>
      </c>
      <c r="D22" s="6" t="inlineStr">
        <is>
          <t>bonana</t>
        </is>
      </c>
      <c r="E22" s="4" t="inlineStr">
        <is>
          <t>Меняет только 2-е 'a'</t>
        </is>
      </c>
    </row>
    <row r="23">
      <c r="A23" s="4" t="inlineStr">
        <is>
          <t>UPPER</t>
        </is>
      </c>
      <c r="B23" s="4" t="inlineStr">
        <is>
          <t>Верхний регистр</t>
        </is>
      </c>
      <c r="C23" s="5">
        <f>UPPER("excel")</f>
        <v/>
      </c>
      <c r="D23" s="6" t="inlineStr">
        <is>
          <t>EXCEL</t>
        </is>
      </c>
      <c r="E23" s="4" t="inlineStr">
        <is>
          <t>Все заглавные</t>
        </is>
      </c>
    </row>
    <row r="24">
      <c r="A24" s="4" t="inlineStr">
        <is>
          <t>LOWER</t>
        </is>
      </c>
      <c r="B24" s="4" t="inlineStr">
        <is>
          <t>Нижний регистр</t>
        </is>
      </c>
      <c r="C24" s="5">
        <f>LOWER("EXCEL")</f>
        <v/>
      </c>
      <c r="D24" s="6" t="inlineStr">
        <is>
          <t>excel</t>
        </is>
      </c>
      <c r="E24" s="4" t="inlineStr">
        <is>
          <t>Все строчные</t>
        </is>
      </c>
    </row>
    <row r="25">
      <c r="A25" s="4" t="inlineStr">
        <is>
          <t>PROPER</t>
        </is>
      </c>
      <c r="B25" s="4" t="inlineStr">
        <is>
          <t>Каждое слово с заглавной</t>
        </is>
      </c>
      <c r="C25" s="5">
        <f>PROPER("иванов иван")</f>
        <v/>
      </c>
      <c r="D25" s="6" t="inlineStr">
        <is>
          <t>Иванов Иван</t>
        </is>
      </c>
      <c r="E25" s="4" t="inlineStr">
        <is>
          <t>Заглавная каждое слово</t>
        </is>
      </c>
    </row>
    <row r="26">
      <c r="A26" s="4" t="inlineStr">
        <is>
          <t>TRIM</t>
        </is>
      </c>
      <c r="B26" s="4" t="inlineStr">
        <is>
          <t>Удаление лишних пробелов</t>
        </is>
      </c>
      <c r="C26" s="5">
        <f>TRIM("  Excel   2024  ")</f>
        <v/>
      </c>
      <c r="D26" s="6" t="inlineStr">
        <is>
          <t>Excel 2024</t>
        </is>
      </c>
      <c r="E26" s="4" t="inlineStr">
        <is>
          <t>Убирает лишние пробелы</t>
        </is>
      </c>
    </row>
    <row r="27">
      <c r="A27" s="4" t="inlineStr">
        <is>
          <t>CLEAN</t>
        </is>
      </c>
      <c r="B27" s="4" t="inlineStr">
        <is>
          <t>Удаление непечатаемых</t>
        </is>
      </c>
      <c r="C27" s="5">
        <f>CLEAN("Excel"&amp;CHAR(7))</f>
        <v/>
      </c>
      <c r="D27" s="6" t="inlineStr">
        <is>
          <t>Excel</t>
        </is>
      </c>
      <c r="E27" s="4" t="inlineStr">
        <is>
          <t>Убирает управляющие символы</t>
        </is>
      </c>
    </row>
    <row r="28">
      <c r="A28" s="4" t="inlineStr">
        <is>
          <t>TEXT</t>
        </is>
      </c>
      <c r="B28" s="4" t="inlineStr">
        <is>
          <t>Форматирование числа</t>
        </is>
      </c>
      <c r="C28" s="5">
        <f>TEXT(1234.5,"#,##0.00")</f>
        <v/>
      </c>
      <c r="D28" s="6" t="inlineStr">
        <is>
          <t>1 234,50</t>
        </is>
      </c>
      <c r="E28" s="4" t="inlineStr">
        <is>
          <t>Преобразует в текст</t>
        </is>
      </c>
    </row>
    <row r="29">
      <c r="A29" s="4" t="inlineStr">
        <is>
          <t>TEXT</t>
        </is>
      </c>
      <c r="B29" s="4" t="inlineStr">
        <is>
          <t>Формат даты</t>
        </is>
      </c>
      <c r="C29" s="5">
        <f>TEXT(DATE(2024,12,25),"DD.MM.YYYY")</f>
        <v/>
      </c>
      <c r="D29" s="6" t="inlineStr">
        <is>
          <t>25.12.2024</t>
        </is>
      </c>
      <c r="E29" s="4" t="inlineStr">
        <is>
          <t>Дата в текст</t>
        </is>
      </c>
    </row>
    <row r="30">
      <c r="A30" s="4" t="inlineStr">
        <is>
          <t>VALUE</t>
        </is>
      </c>
      <c r="B30" s="4" t="inlineStr">
        <is>
          <t>Текст в число</t>
        </is>
      </c>
      <c r="C30" s="5">
        <f>VALUE("1234,5")</f>
        <v/>
      </c>
      <c r="D30" s="6" t="n">
        <v>1234.5</v>
      </c>
      <c r="E30" s="4" t="inlineStr">
        <is>
          <t>Строка → число</t>
        </is>
      </c>
    </row>
    <row r="31">
      <c r="A31" s="4" t="inlineStr">
        <is>
          <t>DOLLAR</t>
        </is>
      </c>
      <c r="B31" s="4" t="inlineStr">
        <is>
          <t>Число в валютный формат</t>
        </is>
      </c>
      <c r="C31" s="5">
        <f>DOLLAR(1234.5)</f>
        <v/>
      </c>
      <c r="D31" s="6" t="inlineStr">
        <is>
          <t>$1 234,50</t>
        </is>
      </c>
      <c r="E31" s="4" t="inlineStr">
        <is>
          <t>Валютный формат (зависит от локали)</t>
        </is>
      </c>
    </row>
    <row r="32">
      <c r="A32" s="4" t="inlineStr">
        <is>
          <t>FIXED</t>
        </is>
      </c>
      <c r="B32" s="4" t="inlineStr">
        <is>
          <t>Формат с фикс. десятичными</t>
        </is>
      </c>
      <c r="C32" s="5">
        <f>FIXED(1234.567,1)</f>
        <v/>
      </c>
      <c r="D32" s="6" t="inlineStr">
        <is>
          <t>1 234,6</t>
        </is>
      </c>
      <c r="E32" s="4" t="inlineStr">
        <is>
          <t>Форматированное число</t>
        </is>
      </c>
    </row>
    <row r="33">
      <c r="A33" s="4" t="inlineStr">
        <is>
          <t>FIXED</t>
        </is>
      </c>
      <c r="B33" s="4" t="inlineStr">
        <is>
          <t>Без разделителя тысяч</t>
        </is>
      </c>
      <c r="C33" s="5">
        <f>FIXED(1234.567,1,TRUE)</f>
        <v/>
      </c>
      <c r="D33" s="6" t="inlineStr">
        <is>
          <t>1234,6</t>
        </is>
      </c>
      <c r="E33" s="4" t="inlineStr">
        <is>
          <t>Без разделителя</t>
        </is>
      </c>
    </row>
    <row r="34">
      <c r="A34" s="4" t="inlineStr">
        <is>
          <t>REPT</t>
        </is>
      </c>
      <c r="B34" s="4" t="inlineStr">
        <is>
          <t>Повторение текста</t>
        </is>
      </c>
      <c r="C34" s="5">
        <f>REPT("*",5)</f>
        <v/>
      </c>
      <c r="D34" s="6" t="inlineStr">
        <is>
          <t>*****</t>
        </is>
      </c>
      <c r="E34" s="4" t="inlineStr">
        <is>
          <t>Повторяет 5 раз</t>
        </is>
      </c>
    </row>
    <row r="35">
      <c r="A35" s="4" t="inlineStr">
        <is>
          <t>EXACT</t>
        </is>
      </c>
      <c r="B35" s="4" t="inlineStr">
        <is>
          <t>Точное сравнение</t>
        </is>
      </c>
      <c r="C35" s="5">
        <f>EXACT("Excel","excel")</f>
        <v/>
      </c>
      <c r="D35" s="6" t="inlineStr">
        <is>
          <t>ЛОЖЬ</t>
        </is>
      </c>
      <c r="E35" s="4" t="inlineStr">
        <is>
          <t>Учитывает регистр</t>
        </is>
      </c>
    </row>
    <row r="36">
      <c r="A36" s="4" t="inlineStr">
        <is>
          <t>CHAR</t>
        </is>
      </c>
      <c r="B36" s="4" t="inlineStr">
        <is>
          <t>Символ по коду ASCII</t>
        </is>
      </c>
      <c r="C36" s="5">
        <f>CHAR(65)</f>
        <v/>
      </c>
      <c r="D36" s="6" t="inlineStr">
        <is>
          <t>A</t>
        </is>
      </c>
      <c r="E36" s="4" t="inlineStr">
        <is>
          <t>Код 65 = буква A</t>
        </is>
      </c>
    </row>
    <row r="37">
      <c r="A37" s="4" t="inlineStr">
        <is>
          <t>CODE</t>
        </is>
      </c>
      <c r="B37" s="4" t="inlineStr">
        <is>
          <t>Код символа</t>
        </is>
      </c>
      <c r="C37" s="5">
        <f>CODE("A")</f>
        <v/>
      </c>
      <c r="D37" s="6" t="n">
        <v>65</v>
      </c>
      <c r="E37" s="4" t="inlineStr">
        <is>
          <t>ASCII-код символа</t>
        </is>
      </c>
    </row>
    <row r="38">
      <c r="A38" s="4" t="inlineStr">
        <is>
          <t>UNICHAR</t>
        </is>
      </c>
      <c r="B38" s="4" t="inlineStr">
        <is>
          <t>Символ по Unicode</t>
        </is>
      </c>
      <c r="C38" s="5">
        <f>UNICHAR(65)</f>
        <v/>
      </c>
      <c r="D38" s="6" t="inlineStr">
        <is>
          <t>A</t>
        </is>
      </c>
      <c r="E38" s="4" t="inlineStr">
        <is>
          <t>Unicode-символ</t>
        </is>
      </c>
    </row>
    <row r="39">
      <c r="A39" s="4" t="inlineStr">
        <is>
          <t>UNICODE</t>
        </is>
      </c>
      <c r="B39" s="4" t="inlineStr">
        <is>
          <t>Код Unicode</t>
        </is>
      </c>
      <c r="C39" s="5">
        <f>UNICODE("A")</f>
        <v/>
      </c>
      <c r="D39" s="6" t="n">
        <v>65</v>
      </c>
      <c r="E39" s="4" t="inlineStr">
        <is>
          <t>Код Unicode символа</t>
        </is>
      </c>
    </row>
    <row r="40">
      <c r="A40" s="4" t="inlineStr">
        <is>
          <t>T</t>
        </is>
      </c>
      <c r="B40" s="4" t="inlineStr">
        <is>
          <t>Проверка текста</t>
        </is>
      </c>
      <c r="C40" s="5">
        <f>T(123)</f>
        <v/>
      </c>
      <c r="D40" s="6" t="inlineStr"/>
      <c r="E40" s="4" t="inlineStr">
        <is>
          <t>Число → пусто</t>
        </is>
      </c>
    </row>
    <row r="41">
      <c r="A41" s="4" t="inlineStr">
        <is>
          <t>T</t>
        </is>
      </c>
      <c r="B41" s="4" t="inlineStr">
        <is>
          <t>Проверка текста (текст)</t>
        </is>
      </c>
      <c r="C41" s="5">
        <f>T("текст")</f>
        <v/>
      </c>
      <c r="D41" s="6" t="inlineStr">
        <is>
          <t>текст</t>
        </is>
      </c>
      <c r="E41" s="4" t="inlineStr">
        <is>
          <t>Текст → текст</t>
        </is>
      </c>
    </row>
    <row r="42">
      <c r="A42" s="4" t="inlineStr">
        <is>
          <t>NUMBERVALUE</t>
        </is>
      </c>
      <c r="B42" s="4" t="inlineStr">
        <is>
          <t>Текст в число (локаль)</t>
        </is>
      </c>
      <c r="C42" s="5">
        <f>NUMBERVALUE("1.234,56",",",".")</f>
        <v/>
      </c>
      <c r="D42" s="6" t="n">
        <v>1234.56</v>
      </c>
      <c r="E42" s="4" t="inlineStr">
        <is>
          <t>С указанием разделителей</t>
        </is>
      </c>
    </row>
    <row r="43">
      <c r="A43" s="4" t="inlineStr">
        <is>
          <t>BAHTTEXT</t>
        </is>
      </c>
      <c r="B43" s="4" t="inlineStr">
        <is>
          <t>Число тайскими словами</t>
        </is>
      </c>
      <c r="C43" s="5">
        <f>BAHTTEXT(123)</f>
        <v/>
      </c>
      <c r="D43" s="6" t="inlineStr">
        <is>
          <t>тайский текст</t>
        </is>
      </c>
      <c r="E43" s="4" t="inlineStr">
        <is>
          <t>Только для тайской локали</t>
        </is>
      </c>
    </row>
    <row r="44">
      <c r="A44" s="4" t="inlineStr">
        <is>
          <t>ASC</t>
        </is>
      </c>
      <c r="B44" s="4" t="inlineStr">
        <is>
          <t>Полуширинные символы</t>
        </is>
      </c>
      <c r="C44" s="5">
        <f>ASC("Excel")</f>
        <v/>
      </c>
      <c r="D44" s="6" t="inlineStr">
        <is>
          <t>Excel</t>
        </is>
      </c>
      <c r="E44" s="4" t="inlineStr">
        <is>
          <t>Преобразует в полуширину</t>
        </is>
      </c>
    </row>
    <row r="45">
      <c r="A45" s="4" t="inlineStr">
        <is>
          <t>JIS</t>
        </is>
      </c>
      <c r="B45" s="4" t="inlineStr">
        <is>
          <t>Полноширинные символы</t>
        </is>
      </c>
      <c r="C45" s="5">
        <f>JIS("Excel")</f>
        <v/>
      </c>
      <c r="D45" s="6" t="inlineStr">
        <is>
          <t>Excel</t>
        </is>
      </c>
      <c r="E45" s="4" t="inlineStr">
        <is>
          <t>Преобразует в полную ширину</t>
        </is>
      </c>
    </row>
    <row r="46">
      <c r="A46" s="4" t="inlineStr">
        <is>
          <t>PHONETIC</t>
        </is>
      </c>
      <c r="B46" s="4" t="inlineStr">
        <is>
          <t>Фонетическое руководство</t>
        </is>
      </c>
      <c r="C46" s="5">
        <f>PHONETIC(A100:A104)</f>
        <v/>
      </c>
      <c r="D46" s="6" t="inlineStr"/>
      <c r="E46" s="4" t="inlineStr">
        <is>
          <t>Только для японского Excel</t>
        </is>
      </c>
    </row>
    <row r="47">
      <c r="A47" s="4" t="inlineStr">
        <is>
          <t>CONCAT + IF</t>
        </is>
      </c>
      <c r="B47" s="4" t="inlineStr">
        <is>
          <t>Объединение с условием</t>
        </is>
      </c>
      <c r="C47" s="5">
        <f>CONCAT(IF(A100:A104="Иванов","Найден: ","Не найден: "),A100:A104)</f>
        <v/>
      </c>
      <c r="D47" s="6" t="inlineStr">
        <is>
          <t>Массив</t>
        </is>
      </c>
      <c r="E47" s="4" t="inlineStr">
        <is>
          <t>Комбинация функций</t>
        </is>
      </c>
    </row>
    <row r="100">
      <c r="A100" s="7" t="inlineStr">
        <is>
          <t>Фамилии A100:A104</t>
        </is>
      </c>
      <c r="C100" s="7" t="inlineStr">
        <is>
          <t>Имена C100:C104</t>
        </is>
      </c>
    </row>
    <row r="101">
      <c r="A101" s="2" t="inlineStr">
        <is>
          <t>Иванов</t>
        </is>
      </c>
      <c r="C101" s="2" t="inlineStr">
        <is>
          <t>Иван</t>
        </is>
      </c>
    </row>
    <row r="102">
      <c r="A102" s="2" t="inlineStr">
        <is>
          <t>Петров</t>
        </is>
      </c>
      <c r="C102" s="2" t="inlineStr">
        <is>
          <t>Пётр</t>
        </is>
      </c>
    </row>
    <row r="103">
      <c r="A103" s="2" t="inlineStr">
        <is>
          <t>Сидоров</t>
        </is>
      </c>
      <c r="C103" s="2" t="inlineStr">
        <is>
          <t>Сидор</t>
        </is>
      </c>
    </row>
    <row r="104">
      <c r="A104" s="2" t="inlineStr">
        <is>
          <t>Кузнецов</t>
        </is>
      </c>
      <c r="C104" s="2" t="inlineStr">
        <is>
          <t>Алексей</t>
        </is>
      </c>
    </row>
    <row r="105">
      <c r="A105" s="2" t="inlineStr">
        <is>
          <t>Смирнов</t>
        </is>
      </c>
      <c r="C105" s="2" t="inlineStr">
        <is>
          <t>Дмитрий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52" customWidth="1" min="3" max="3"/>
    <col width="22" customWidth="1" min="4" max="4"/>
    <col width="45" customWidth="1" min="5" max="5"/>
  </cols>
  <sheetData>
    <row r="1">
      <c r="A1" s="1" t="inlineStr">
        <is>
          <t>ЛОГИЧЕСКИЕ ФУНКЦИИ</t>
        </is>
      </c>
      <c r="B1" s="2" t="n"/>
      <c r="C1" s="2" t="n"/>
      <c r="D1" s="2" t="n"/>
      <c r="E1" s="2" t="n"/>
    </row>
    <row r="2">
      <c r="A2" s="3" t="inlineStr">
        <is>
          <t>Функция</t>
        </is>
      </c>
      <c r="B2" s="3" t="inlineStr">
        <is>
          <t>Описание</t>
        </is>
      </c>
      <c r="C2" s="3" t="inlineStr">
        <is>
          <t>Формула</t>
        </is>
      </c>
      <c r="D2" s="3" t="inlineStr">
        <is>
          <t>Результат</t>
        </is>
      </c>
      <c r="E2" s="3" t="inlineStr">
        <is>
          <t>Примечания</t>
        </is>
      </c>
    </row>
    <row r="3">
      <c r="A3" s="4" t="inlineStr">
        <is>
          <t>IF</t>
        </is>
      </c>
      <c r="B3" s="4" t="inlineStr">
        <is>
          <t>Условное значение</t>
        </is>
      </c>
      <c r="C3" s="5">
        <f>IF(10&gt;5,"Да","Нет")</f>
        <v/>
      </c>
      <c r="D3" s="6" t="inlineStr">
        <is>
          <t>Да</t>
        </is>
      </c>
      <c r="E3" s="4" t="inlineStr">
        <is>
          <t>Проверяет условие</t>
        </is>
      </c>
    </row>
    <row r="4">
      <c r="A4" s="4" t="inlineStr">
        <is>
          <t>IF</t>
        </is>
      </c>
      <c r="B4" s="4" t="inlineStr">
        <is>
          <t>Условие с оценкой</t>
        </is>
      </c>
      <c r="C4" s="5">
        <f>IF(A100&gt;=90,"Отлично",IF(A100&gt;=70,"Хорошо","Удовл."))</f>
        <v/>
      </c>
      <c r="D4" s="6" t="inlineStr">
        <is>
          <t>Хорошо</t>
        </is>
      </c>
      <c r="E4" s="4" t="inlineStr">
        <is>
          <t>85 → 'Хорошо'</t>
        </is>
      </c>
    </row>
    <row r="5">
      <c r="A5" s="4" t="inlineStr">
        <is>
          <t>IF (вложенный)</t>
        </is>
      </c>
      <c r="B5" s="4" t="inlineStr">
        <is>
          <t>Многоуровневое условие</t>
        </is>
      </c>
      <c r="C5" s="5">
        <f>IF(A100&gt;=90,"A",IF(A100&gt;=80,"B",IF(A100&gt;=70,"C",IF(A100&gt;=60,"D","F"))))</f>
        <v/>
      </c>
      <c r="D5" s="6" t="inlineStr">
        <is>
          <t>B</t>
        </is>
      </c>
      <c r="E5" s="4" t="inlineStr">
        <is>
          <t>85 → B</t>
        </is>
      </c>
    </row>
    <row r="6">
      <c r="A6" s="4" t="inlineStr">
        <is>
          <t>AND</t>
        </is>
      </c>
      <c r="B6" s="4" t="inlineStr">
        <is>
          <t>Все условия истинны</t>
        </is>
      </c>
      <c r="C6" s="5">
        <f>AND(5&gt;3,10&gt;8,7&gt;2)</f>
        <v/>
      </c>
      <c r="D6" s="6" t="inlineStr">
        <is>
          <t>ИСТИНА</t>
        </is>
      </c>
      <c r="E6" s="4" t="inlineStr">
        <is>
          <t>Все TRUE</t>
        </is>
      </c>
    </row>
    <row r="7">
      <c r="A7" s="4" t="inlineStr">
        <is>
          <t>AND</t>
        </is>
      </c>
      <c r="B7" s="4" t="inlineStr">
        <is>
          <t>Одно условие ложно</t>
        </is>
      </c>
      <c r="C7" s="5">
        <f>AND(5&gt;3,10&lt;8,7&gt;2)</f>
        <v/>
      </c>
      <c r="D7" s="6" t="inlineStr">
        <is>
          <t>ЛОЖЬ</t>
        </is>
      </c>
      <c r="E7" s="4" t="inlineStr">
        <is>
          <t>Одно FALSE</t>
        </is>
      </c>
    </row>
    <row r="8">
      <c r="A8" s="4" t="inlineStr">
        <is>
          <t>OR</t>
        </is>
      </c>
      <c r="B8" s="4" t="inlineStr">
        <is>
          <t>Хотя бы одно истинно</t>
        </is>
      </c>
      <c r="C8" s="5">
        <f>OR(5&gt;10,10&gt;8,7&gt;20)</f>
        <v/>
      </c>
      <c r="D8" s="6" t="inlineStr">
        <is>
          <t>ИСТИНА</t>
        </is>
      </c>
      <c r="E8" s="4" t="inlineStr">
        <is>
          <t>Одно TRUE</t>
        </is>
      </c>
    </row>
    <row r="9">
      <c r="A9" s="4" t="inlineStr">
        <is>
          <t>OR</t>
        </is>
      </c>
      <c r="B9" s="4" t="inlineStr">
        <is>
          <t>Все ложны</t>
        </is>
      </c>
      <c r="C9" s="5">
        <f>OR(5&gt;10,10&lt;8,7&gt;20)</f>
        <v/>
      </c>
      <c r="D9" s="6" t="inlineStr">
        <is>
          <t>ЛОЖЬ</t>
        </is>
      </c>
      <c r="E9" s="4" t="inlineStr">
        <is>
          <t>Все FALSE</t>
        </is>
      </c>
    </row>
    <row r="10">
      <c r="A10" s="4" t="inlineStr">
        <is>
          <t>NOT</t>
        </is>
      </c>
      <c r="B10" s="4" t="inlineStr">
        <is>
          <t>Логическое отрицание</t>
        </is>
      </c>
      <c r="C10" s="5">
        <f>NOT(5&gt;10)</f>
        <v/>
      </c>
      <c r="D10" s="6" t="inlineStr">
        <is>
          <t>ИСТИНА</t>
        </is>
      </c>
      <c r="E10" s="4" t="inlineStr">
        <is>
          <t>Инвертирует</t>
        </is>
      </c>
    </row>
    <row r="11">
      <c r="A11" s="4" t="inlineStr">
        <is>
          <t>NOT</t>
        </is>
      </c>
      <c r="B11" s="4" t="inlineStr">
        <is>
          <t>Отрицание истины</t>
        </is>
      </c>
      <c r="C11" s="5">
        <f>NOT(5&lt;10)</f>
        <v/>
      </c>
      <c r="D11" s="6" t="inlineStr">
        <is>
          <t>ЛОЖЬ</t>
        </is>
      </c>
      <c r="E11" s="4" t="inlineStr">
        <is>
          <t>Инвертирует TRUE</t>
        </is>
      </c>
    </row>
    <row r="12">
      <c r="A12" s="4" t="inlineStr">
        <is>
          <t>IFERROR</t>
        </is>
      </c>
      <c r="B12" s="4" t="inlineStr">
        <is>
          <t>Обработка ошибок</t>
        </is>
      </c>
      <c r="C12" s="5">
        <f>IFERROR(10/0,"Ошибка")</f>
        <v/>
      </c>
      <c r="D12" s="6" t="inlineStr">
        <is>
          <t>Ошибка</t>
        </is>
      </c>
      <c r="E12" s="4" t="inlineStr">
        <is>
          <t>Заменяет любую ошибку</t>
        </is>
      </c>
    </row>
    <row r="13">
      <c r="A13" s="4" t="inlineStr">
        <is>
          <t>IFERROR</t>
        </is>
      </c>
      <c r="B13" s="4" t="inlineStr">
        <is>
          <t>Без ошибки</t>
        </is>
      </c>
      <c r="C13" s="5">
        <f>IFERROR(10/2,"Ошибка")</f>
        <v/>
      </c>
      <c r="D13" s="6" t="n">
        <v>5</v>
      </c>
      <c r="E13" s="4" t="inlineStr">
        <is>
          <t>Возвращает результат</t>
        </is>
      </c>
    </row>
    <row r="14">
      <c r="A14" s="4" t="inlineStr">
        <is>
          <t>IFNA</t>
        </is>
      </c>
      <c r="B14" s="4" t="inlineStr">
        <is>
          <t>Обработка #Н/Д</t>
        </is>
      </c>
      <c r="C14" s="5">
        <f>IFNA(VLOOKUP("X",A100:B101,2,0),"Не найдено")</f>
        <v/>
      </c>
      <c r="D14" s="6" t="inlineStr">
        <is>
          <t>Не найдено</t>
        </is>
      </c>
      <c r="E14" s="4" t="inlineStr">
        <is>
          <t>Только для #Н/Д</t>
        </is>
      </c>
    </row>
    <row r="15">
      <c r="A15" s="4" t="inlineStr">
        <is>
          <t>IFS</t>
        </is>
      </c>
      <c r="B15" s="4" t="inlineStr">
        <is>
          <t>Несколько условий</t>
        </is>
      </c>
      <c r="C15" s="5">
        <f>IFS(A100&gt;=90,"A",A100&gt;=80,"B",A100&gt;=70,"C",TRUE,"F")</f>
        <v/>
      </c>
      <c r="D15" s="6" t="inlineStr">
        <is>
          <t>B</t>
        </is>
      </c>
      <c r="E15" s="4" t="inlineStr">
        <is>
          <t>Excel 2019+</t>
        </is>
      </c>
    </row>
    <row r="16">
      <c r="A16" s="4" t="inlineStr">
        <is>
          <t>SWITCH</t>
        </is>
      </c>
      <c r="B16" s="4" t="inlineStr">
        <is>
          <t>Выбор из списка</t>
        </is>
      </c>
      <c r="C16" s="5">
        <f>SWITCH(A100,1,"Пн",2,"Вт",3,"Ср","Другое")</f>
        <v/>
      </c>
      <c r="D16" s="6" t="inlineStr">
        <is>
          <t>Другое</t>
        </is>
      </c>
      <c r="E16" s="4" t="inlineStr">
        <is>
          <t>Excel 2019+</t>
        </is>
      </c>
    </row>
    <row r="17">
      <c r="A17" s="4" t="inlineStr">
        <is>
          <t>XOR</t>
        </is>
      </c>
      <c r="B17" s="4" t="inlineStr">
        <is>
          <t>Исключающее ИЛИ (одно)</t>
        </is>
      </c>
      <c r="C17" s="5">
        <f>XOR(TRUE,FALSE)</f>
        <v/>
      </c>
      <c r="D17" s="6" t="inlineStr">
        <is>
          <t>ИСТИНА</t>
        </is>
      </c>
      <c r="E17" s="4" t="inlineStr">
        <is>
          <t>Только одно TRUE</t>
        </is>
      </c>
    </row>
    <row r="18">
      <c r="A18" s="4" t="inlineStr">
        <is>
          <t>XOR</t>
        </is>
      </c>
      <c r="B18" s="4" t="inlineStr">
        <is>
          <t>Исключающее ИЛИ (два)</t>
        </is>
      </c>
      <c r="C18" s="5">
        <f>XOR(TRUE,TRUE)</f>
        <v/>
      </c>
      <c r="D18" s="6" t="inlineStr">
        <is>
          <t>ЛОЖЬ</t>
        </is>
      </c>
      <c r="E18" s="4" t="inlineStr">
        <is>
          <t>Два TRUE → FALSE</t>
        </is>
      </c>
    </row>
    <row r="19">
      <c r="A19" s="4" t="inlineStr">
        <is>
          <t>TRUE</t>
        </is>
      </c>
      <c r="B19" s="4" t="inlineStr">
        <is>
          <t>Логическая истина</t>
        </is>
      </c>
      <c r="C19" s="5">
        <f>TRUE()</f>
        <v/>
      </c>
      <c r="D19" s="6" t="inlineStr">
        <is>
          <t>ИСТИНА</t>
        </is>
      </c>
      <c r="E19" s="4" t="inlineStr">
        <is>
          <t>Возвращает TRUE</t>
        </is>
      </c>
    </row>
    <row r="20">
      <c r="A20" s="4" t="inlineStr">
        <is>
          <t>FALSE</t>
        </is>
      </c>
      <c r="B20" s="4" t="inlineStr">
        <is>
          <t>Логическая ложь</t>
        </is>
      </c>
      <c r="C20" s="5">
        <f>FALSE()</f>
        <v/>
      </c>
      <c r="D20" s="6" t="inlineStr">
        <is>
          <t>ЛОЖЬ</t>
        </is>
      </c>
      <c r="E20" s="4" t="inlineStr">
        <is>
          <t>Возвращает FALSE</t>
        </is>
      </c>
    </row>
    <row r="21">
      <c r="A21" s="4" t="inlineStr">
        <is>
          <t>IF + AND</t>
        </is>
      </c>
      <c r="B21" s="4" t="inlineStr">
        <is>
          <t>Комбинация IF и AND</t>
        </is>
      </c>
      <c r="C21" s="5">
        <f>IF(AND(A100&gt;80,A100&lt;90),"B+","Другое")</f>
        <v/>
      </c>
      <c r="D21" s="6" t="inlineStr">
        <is>
          <t>B+</t>
        </is>
      </c>
      <c r="E21" s="4" t="inlineStr">
        <is>
          <t>85 в диапазоне 80-90</t>
        </is>
      </c>
    </row>
    <row r="22">
      <c r="A22" s="4" t="inlineStr">
        <is>
          <t>IF + OR</t>
        </is>
      </c>
      <c r="B22" s="4" t="inlineStr">
        <is>
          <t>Комбинация IF и OR</t>
        </is>
      </c>
      <c r="C22" s="5">
        <f>IF(OR(A100&gt;90,A100&lt;60),"Крайность","Норма")</f>
        <v/>
      </c>
      <c r="D22" s="6" t="inlineStr">
        <is>
          <t>Норма</t>
        </is>
      </c>
      <c r="E22" s="4" t="inlineStr">
        <is>
          <t>85 — норма</t>
        </is>
      </c>
    </row>
    <row r="23">
      <c r="A23" s="4" t="inlineStr">
        <is>
          <t>LAMBDA + IF</t>
        </is>
      </c>
      <c r="B23" s="4" t="inlineStr">
        <is>
          <t>Пользовательская логика</t>
        </is>
      </c>
      <c r="C23" s="5">
        <f>LAMBDA(x,IF(x&gt;=90,"A",IF(x&gt;=80,"B","C")))(85)</f>
        <v/>
      </c>
      <c r="D23" s="6" t="inlineStr">
        <is>
          <t>B</t>
        </is>
      </c>
      <c r="E23" s="4" t="inlineStr">
        <is>
          <t>Своя функция оценок</t>
        </is>
      </c>
    </row>
    <row r="24">
      <c r="A24" s="4" t="inlineStr">
        <is>
          <t>LET + IF</t>
        </is>
      </c>
      <c r="B24" s="4" t="inlineStr">
        <is>
          <t>Именованные переменные</t>
        </is>
      </c>
      <c r="C24" s="5">
        <f>LET(x,85,IF(x&gt;=90,"A",IF(x&gt;=80,"B","C")))</f>
        <v/>
      </c>
      <c r="D24" s="6" t="inlineStr">
        <is>
          <t>B</t>
        </is>
      </c>
      <c r="E24" s="4" t="inlineStr">
        <is>
          <t>LET для промежуточных</t>
        </is>
      </c>
    </row>
    <row r="25">
      <c r="A25" s="4" t="inlineStr">
        <is>
          <t>IF (массив)</t>
        </is>
      </c>
      <c r="B25" s="4" t="inlineStr">
        <is>
          <t>Условие для массива</t>
        </is>
      </c>
      <c r="C25" s="5">
        <f>IF(A100:A104&gt;50,"Больше 50","Меньше")</f>
        <v/>
      </c>
      <c r="D25" s="6" t="inlineStr">
        <is>
          <t>Массив</t>
        </is>
      </c>
      <c r="E25" s="4" t="inlineStr">
        <is>
          <t>Возвращает массив</t>
        </is>
      </c>
    </row>
    <row r="26">
      <c r="A26" s="4" t="inlineStr">
        <is>
          <t>IF (пусто)</t>
        </is>
      </c>
      <c r="B26" s="4" t="inlineStr">
        <is>
          <t>Проверка на пусто</t>
        </is>
      </c>
      <c r="C26" s="5">
        <f>IF(A100="","Пусто","Заполнено")</f>
        <v/>
      </c>
      <c r="D26" s="6" t="inlineStr">
        <is>
          <t>Заполнено</t>
        </is>
      </c>
      <c r="E26" s="4" t="inlineStr">
        <is>
          <t>85 не пусто</t>
        </is>
      </c>
    </row>
    <row r="27">
      <c r="A27" s="4" t="inlineStr">
        <is>
          <t>IF (число)</t>
        </is>
      </c>
      <c r="B27" s="4" t="inlineStr">
        <is>
          <t>Проверка на число</t>
        </is>
      </c>
      <c r="C27" s="5">
        <f>IF(ISNUMBER(A100),"Число","Не число")</f>
        <v/>
      </c>
      <c r="D27" s="6" t="inlineStr">
        <is>
          <t>Число</t>
        </is>
      </c>
      <c r="E27" s="4" t="inlineStr">
        <is>
          <t>85 — число</t>
        </is>
      </c>
    </row>
    <row r="100">
      <c r="A100" s="8" t="n">
        <v>85</v>
      </c>
      <c r="B100" s="9" t="inlineStr">
        <is>
          <t>Оценка: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52" customWidth="1" min="3" max="3"/>
    <col width="22" customWidth="1" min="4" max="4"/>
    <col width="45" customWidth="1" min="5" max="5"/>
  </cols>
  <sheetData>
    <row r="1">
      <c r="A1" s="1" t="inlineStr">
        <is>
          <t>ФУНКЦИИ ДАТЫ И ВРЕМЕНИ</t>
        </is>
      </c>
      <c r="B1" s="2" t="n"/>
      <c r="C1" s="2" t="n"/>
      <c r="D1" s="2" t="n"/>
      <c r="E1" s="2" t="n"/>
    </row>
    <row r="2">
      <c r="A2" s="3" t="inlineStr">
        <is>
          <t>Функция</t>
        </is>
      </c>
      <c r="B2" s="3" t="inlineStr">
        <is>
          <t>Описание</t>
        </is>
      </c>
      <c r="C2" s="3" t="inlineStr">
        <is>
          <t>Формула</t>
        </is>
      </c>
      <c r="D2" s="3" t="inlineStr">
        <is>
          <t>Результат</t>
        </is>
      </c>
      <c r="E2" s="3" t="inlineStr">
        <is>
          <t>Примечания</t>
        </is>
      </c>
    </row>
    <row r="3">
      <c r="A3" s="4" t="inlineStr">
        <is>
          <t>TODAY</t>
        </is>
      </c>
      <c r="B3" s="4" t="inlineStr">
        <is>
          <t>Текущая дата</t>
        </is>
      </c>
      <c r="C3" s="5">
        <f>TODAY()</f>
        <v/>
      </c>
      <c r="D3" s="6" t="inlineStr">
        <is>
          <t>Сегодня</t>
        </is>
      </c>
      <c r="E3" s="4" t="inlineStr">
        <is>
          <t>Динамически меняется</t>
        </is>
      </c>
    </row>
    <row r="4">
      <c r="A4" s="4" t="inlineStr">
        <is>
          <t>NOW</t>
        </is>
      </c>
      <c r="B4" s="4" t="inlineStr">
        <is>
          <t>Текущая дата и время</t>
        </is>
      </c>
      <c r="C4" s="5">
        <f>NOW()</f>
        <v/>
      </c>
      <c r="D4" s="6" t="inlineStr">
        <is>
          <t>Сейчас</t>
        </is>
      </c>
      <c r="E4" s="4" t="inlineStr">
        <is>
          <t>Динамически меняется</t>
        </is>
      </c>
    </row>
    <row r="5">
      <c r="A5" s="4" t="inlineStr">
        <is>
          <t>DATE</t>
        </is>
      </c>
      <c r="B5" s="4" t="inlineStr">
        <is>
          <t>Создание даты</t>
        </is>
      </c>
      <c r="C5" s="5">
        <f>DATE(2024,12,25)</f>
        <v/>
      </c>
      <c r="D5" s="10" t="n">
        <v>45651</v>
      </c>
      <c r="E5" s="4" t="inlineStr">
        <is>
          <t>Из года, месяца, дня</t>
        </is>
      </c>
    </row>
    <row r="6">
      <c r="A6" s="4" t="inlineStr">
        <is>
          <t>DATE</t>
        </is>
      </c>
      <c r="B6" s="4" t="inlineStr">
        <is>
          <t>Дата из отрицательного месяца</t>
        </is>
      </c>
      <c r="C6" s="5">
        <f>DATE(2024,-1,15)</f>
        <v/>
      </c>
      <c r="D6" s="10" t="n">
        <v>45245</v>
      </c>
      <c r="E6" s="4" t="inlineStr">
        <is>
          <t>Месяц -1 → ноябрь 2023</t>
        </is>
      </c>
    </row>
    <row r="7">
      <c r="A7" s="4" t="inlineStr">
        <is>
          <t>TIME</t>
        </is>
      </c>
      <c r="B7" s="4" t="inlineStr">
        <is>
          <t>Создание времени</t>
        </is>
      </c>
      <c r="C7" s="5">
        <f>TIME(14,30,0)</f>
        <v/>
      </c>
      <c r="D7" s="11" t="n">
        <v>0.6041666666666666</v>
      </c>
      <c r="E7" s="4" t="inlineStr">
        <is>
          <t>14:30:00</t>
        </is>
      </c>
    </row>
    <row r="8">
      <c r="A8" s="4" t="inlineStr">
        <is>
          <t>TIME</t>
        </is>
      </c>
      <c r="B8" s="4" t="inlineStr">
        <is>
          <t>Время &gt; 24 часов</t>
        </is>
      </c>
      <c r="C8" s="5">
        <f>TIME(26,30,0)</f>
        <v/>
      </c>
      <c r="D8" s="11" t="n">
        <v>0.1041666666666667</v>
      </c>
      <c r="E8" s="4" t="inlineStr">
        <is>
          <t>26:30 → 02:30 следующего дня</t>
        </is>
      </c>
    </row>
    <row r="9">
      <c r="A9" s="4" t="inlineStr">
        <is>
          <t>YEAR</t>
        </is>
      </c>
      <c r="B9" s="4" t="inlineStr">
        <is>
          <t>Год из даты</t>
        </is>
      </c>
      <c r="C9" s="5">
        <f>YEAR(A101)</f>
        <v/>
      </c>
      <c r="D9" s="6" t="n">
        <v>2020</v>
      </c>
      <c r="E9" s="4" t="inlineStr">
        <is>
          <t>Из 01.01.2020</t>
        </is>
      </c>
    </row>
    <row r="10">
      <c r="A10" s="4" t="inlineStr">
        <is>
          <t>MONTH</t>
        </is>
      </c>
      <c r="B10" s="4" t="inlineStr">
        <is>
          <t>Месяц из даты</t>
        </is>
      </c>
      <c r="C10" s="5">
        <f>MONTH(A101)</f>
        <v/>
      </c>
      <c r="D10" s="6" t="n">
        <v>1</v>
      </c>
      <c r="E10" s="4" t="inlineStr">
        <is>
          <t>Январь = 1</t>
        </is>
      </c>
    </row>
    <row r="11">
      <c r="A11" s="4" t="inlineStr">
        <is>
          <t>DAY</t>
        </is>
      </c>
      <c r="B11" s="4" t="inlineStr">
        <is>
          <t>День из даты</t>
        </is>
      </c>
      <c r="C11" s="5">
        <f>DAY(A101)</f>
        <v/>
      </c>
      <c r="D11" s="6" t="n">
        <v>1</v>
      </c>
      <c r="E11" s="4" t="inlineStr">
        <is>
          <t>1-е число</t>
        </is>
      </c>
    </row>
    <row r="12">
      <c r="A12" s="4" t="inlineStr">
        <is>
          <t>HOUR</t>
        </is>
      </c>
      <c r="B12" s="4" t="inlineStr">
        <is>
          <t>Час из времени</t>
        </is>
      </c>
      <c r="C12" s="5">
        <f>HOUR(A107)</f>
        <v/>
      </c>
      <c r="D12" s="6" t="n">
        <v>14</v>
      </c>
      <c r="E12" s="4" t="inlineStr">
        <is>
          <t>14 часов</t>
        </is>
      </c>
    </row>
    <row r="13">
      <c r="A13" s="4" t="inlineStr">
        <is>
          <t>MINUTE</t>
        </is>
      </c>
      <c r="B13" s="4" t="inlineStr">
        <is>
          <t>Минута из времени</t>
        </is>
      </c>
      <c r="C13" s="5">
        <f>MINUTE(A107)</f>
        <v/>
      </c>
      <c r="D13" s="6" t="n">
        <v>30</v>
      </c>
      <c r="E13" s="4" t="inlineStr">
        <is>
          <t>30 минут</t>
        </is>
      </c>
    </row>
    <row r="14">
      <c r="A14" s="4" t="inlineStr">
        <is>
          <t>SECOND</t>
        </is>
      </c>
      <c r="B14" s="4" t="inlineStr">
        <is>
          <t>Секунда из времени</t>
        </is>
      </c>
      <c r="C14" s="5">
        <f>SECOND(A107)</f>
        <v/>
      </c>
      <c r="D14" s="6" t="n">
        <v>0</v>
      </c>
      <c r="E14" s="4" t="inlineStr">
        <is>
          <t>0 секунд</t>
        </is>
      </c>
    </row>
    <row r="15">
      <c r="A15" s="4" t="inlineStr">
        <is>
          <t>WEEKDAY</t>
        </is>
      </c>
      <c r="B15" s="4" t="inlineStr">
        <is>
          <t>День недели (тип 1)</t>
        </is>
      </c>
      <c r="C15" s="5">
        <f>WEEKDAY(A103)</f>
        <v/>
      </c>
      <c r="D15" s="6" t="n">
        <v>7</v>
      </c>
      <c r="E15" s="4" t="inlineStr">
        <is>
          <t>15.06.2024 = суббота (вс=1)</t>
        </is>
      </c>
    </row>
    <row r="16">
      <c r="A16" s="4" t="inlineStr">
        <is>
          <t>WEEKDAY</t>
        </is>
      </c>
      <c r="B16" s="4" t="inlineStr">
        <is>
          <t>День недели (тип 2)</t>
        </is>
      </c>
      <c r="C16" s="5">
        <f>WEEKDAY(A103,2)</f>
        <v/>
      </c>
      <c r="D16" s="6" t="n">
        <v>6</v>
      </c>
      <c r="E16" s="4" t="inlineStr">
        <is>
          <t>15.06.2024 = суббота (пн=1)</t>
        </is>
      </c>
    </row>
    <row r="17">
      <c r="A17" s="4" t="inlineStr">
        <is>
          <t>WEEKDAY</t>
        </is>
      </c>
      <c r="B17" s="4" t="inlineStr">
        <is>
          <t>День недели (тип 3)</t>
        </is>
      </c>
      <c r="C17" s="5">
        <f>WEEKDAY(A103,3)</f>
        <v/>
      </c>
      <c r="D17" s="6" t="n">
        <v>5</v>
      </c>
      <c r="E17" s="4" t="inlineStr">
        <is>
          <t>15.06.2024 = суббота (пн=0)</t>
        </is>
      </c>
    </row>
    <row r="18">
      <c r="A18" s="4" t="inlineStr">
        <is>
          <t>WEEKNUM</t>
        </is>
      </c>
      <c r="B18" s="4" t="inlineStr">
        <is>
          <t>Номер недели</t>
        </is>
      </c>
      <c r="C18" s="5">
        <f>WEEKNUM(A103)</f>
        <v/>
      </c>
      <c r="D18" s="6" t="n">
        <v>24</v>
      </c>
      <c r="E18" s="4" t="inlineStr">
        <is>
          <t>24-я неделя 2024</t>
        </is>
      </c>
    </row>
    <row r="19">
      <c r="A19" s="4" t="inlineStr">
        <is>
          <t>ISOWEEKNUM</t>
        </is>
      </c>
      <c r="B19" s="4" t="inlineStr">
        <is>
          <t>Номер недели ISO</t>
        </is>
      </c>
      <c r="C19" s="5">
        <f>ISOWEEKNUM(A102)</f>
        <v/>
      </c>
      <c r="D19" s="6" t="n">
        <v>1</v>
      </c>
      <c r="E19" s="4" t="inlineStr">
        <is>
          <t>1 января 2024 = 1-я ISO-неделя</t>
        </is>
      </c>
    </row>
    <row r="20">
      <c r="A20" s="4" t="inlineStr">
        <is>
          <t>DATEDIF</t>
        </is>
      </c>
      <c r="B20" s="4" t="inlineStr">
        <is>
          <t>Разница в годах</t>
        </is>
      </c>
      <c r="C20" s="5">
        <f>DATEDIF(A101,TODAY(),"Y")</f>
        <v/>
      </c>
      <c r="D20" s="6" t="n">
        <v>6</v>
      </c>
      <c r="E20" s="4" t="inlineStr">
        <is>
          <t>С 01.01.2020 до сегодня</t>
        </is>
      </c>
    </row>
    <row r="21">
      <c r="A21" s="4" t="inlineStr">
        <is>
          <t>DATEDIF</t>
        </is>
      </c>
      <c r="B21" s="4" t="inlineStr">
        <is>
          <t>Разница в месяцах</t>
        </is>
      </c>
      <c r="C21" s="5">
        <f>DATEDIF(A101,A102,"M")</f>
        <v/>
      </c>
      <c r="D21" s="6" t="n">
        <v>59</v>
      </c>
      <c r="E21" s="4" t="inlineStr">
        <is>
          <t>59 месяцев</t>
        </is>
      </c>
    </row>
    <row r="22">
      <c r="A22" s="4" t="inlineStr">
        <is>
          <t>DATEDIF</t>
        </is>
      </c>
      <c r="B22" s="4" t="inlineStr">
        <is>
          <t>Разница в днях</t>
        </is>
      </c>
      <c r="C22" s="5">
        <f>DATEDIF(A101,A102,"D")</f>
        <v/>
      </c>
      <c r="D22" s="6" t="n">
        <v>1826</v>
      </c>
      <c r="E22" s="4" t="inlineStr">
        <is>
          <t>1826 дней</t>
        </is>
      </c>
    </row>
    <row r="23">
      <c r="A23" s="4" t="inlineStr">
        <is>
          <t>DATEDIF</t>
        </is>
      </c>
      <c r="B23" s="4" t="inlineStr">
        <is>
          <t>Разница в полных месяцах</t>
        </is>
      </c>
      <c r="C23" s="5">
        <f>DATEDIF(A101,A103,"YM")</f>
        <v/>
      </c>
      <c r="D23" s="6" t="n">
        <v>5</v>
      </c>
      <c r="E23" s="4" t="inlineStr">
        <is>
          <t>Остаток месяцев</t>
        </is>
      </c>
    </row>
    <row r="24">
      <c r="A24" s="4" t="inlineStr">
        <is>
          <t>DATEDIF</t>
        </is>
      </c>
      <c r="B24" s="4" t="inlineStr">
        <is>
          <t>Разница в полных днях</t>
        </is>
      </c>
      <c r="C24" s="5">
        <f>DATEDIF(A101,A103,"MD")</f>
        <v/>
      </c>
      <c r="D24" s="6" t="n">
        <v>14</v>
      </c>
      <c r="E24" s="4" t="inlineStr">
        <is>
          <t>Остаток дней</t>
        </is>
      </c>
    </row>
    <row r="25">
      <c r="A25" s="4" t="inlineStr">
        <is>
          <t>DAYS</t>
        </is>
      </c>
      <c r="B25" s="4" t="inlineStr">
        <is>
          <t>Разница в днях</t>
        </is>
      </c>
      <c r="C25" s="5">
        <f>DAYS(A102,A101)</f>
        <v/>
      </c>
      <c r="D25" s="6" t="n">
        <v>1826</v>
      </c>
      <c r="E25" s="4" t="inlineStr">
        <is>
          <t>31.12.2024 − 01.01.2020</t>
        </is>
      </c>
    </row>
    <row r="26">
      <c r="A26" s="4" t="inlineStr">
        <is>
          <t>DAYS360</t>
        </is>
      </c>
      <c r="B26" s="4" t="inlineStr">
        <is>
          <t>Разница (360-дневный год)</t>
        </is>
      </c>
      <c r="C26" s="5">
        <f>DAYS360(A101,A102)</f>
        <v/>
      </c>
      <c r="D26" s="6" t="n">
        <v>1800</v>
      </c>
      <c r="E26" s="4" t="inlineStr">
        <is>
          <t>Финансовый расчёт</t>
        </is>
      </c>
    </row>
    <row r="27">
      <c r="A27" s="4" t="inlineStr">
        <is>
          <t>DAYS360</t>
        </is>
      </c>
      <c r="B27" s="4" t="inlineStr">
        <is>
          <t>Разница (европейский метод)</t>
        </is>
      </c>
      <c r="C27" s="5">
        <f>DAYS360(A101,A102,TRUE)</f>
        <v/>
      </c>
      <c r="D27" s="6" t="n">
        <v>1800</v>
      </c>
      <c r="E27" s="4" t="inlineStr">
        <is>
          <t>Европейский метод</t>
        </is>
      </c>
    </row>
    <row r="28">
      <c r="A28" s="4" t="inlineStr">
        <is>
          <t>EDATE</t>
        </is>
      </c>
      <c r="B28" s="4" t="inlineStr">
        <is>
          <t>Дата + месяцы</t>
        </is>
      </c>
      <c r="C28" s="5">
        <f>EDATE(A103,3)</f>
        <v/>
      </c>
      <c r="D28" s="10" t="n">
        <v>45550</v>
      </c>
      <c r="E28" s="4" t="inlineStr">
        <is>
          <t>+3 месяца от 15.06.2024</t>
        </is>
      </c>
    </row>
    <row r="29">
      <c r="A29" s="4" t="inlineStr">
        <is>
          <t>EDATE</t>
        </is>
      </c>
      <c r="B29" s="4" t="inlineStr">
        <is>
          <t>Дата − месяцы</t>
        </is>
      </c>
      <c r="C29" s="5">
        <f>EDATE(A103,-6)</f>
        <v/>
      </c>
      <c r="D29" s="10" t="n">
        <v>45275</v>
      </c>
      <c r="E29" s="4" t="inlineStr">
        <is>
          <t>−6 месяцев</t>
        </is>
      </c>
    </row>
    <row r="30">
      <c r="A30" s="4" t="inlineStr">
        <is>
          <t>EOMONTH</t>
        </is>
      </c>
      <c r="B30" s="4" t="inlineStr">
        <is>
          <t>Последний день месяца</t>
        </is>
      </c>
      <c r="C30" s="5">
        <f>EOMONTH(A103,0)</f>
        <v/>
      </c>
      <c r="D30" s="10" t="n">
        <v>45473</v>
      </c>
      <c r="E30" s="4" t="inlineStr">
        <is>
          <t>Конец июня 2024</t>
        </is>
      </c>
    </row>
    <row r="31">
      <c r="A31" s="4" t="inlineStr">
        <is>
          <t>EOMONTH</t>
        </is>
      </c>
      <c r="B31" s="4" t="inlineStr">
        <is>
          <t>Последний день через N месяцев</t>
        </is>
      </c>
      <c r="C31" s="5">
        <f>EOMONTH(A103,2)</f>
        <v/>
      </c>
      <c r="D31" s="10" t="n">
        <v>45535</v>
      </c>
      <c r="E31" s="4" t="inlineStr">
        <is>
          <t>Конец августа 2024</t>
        </is>
      </c>
    </row>
    <row r="32">
      <c r="A32" s="4" t="inlineStr">
        <is>
          <t>NETWORKDAYS</t>
        </is>
      </c>
      <c r="B32" s="4" t="inlineStr">
        <is>
          <t>Рабочие дни (стандарт)</t>
        </is>
      </c>
      <c r="C32" s="5">
        <f>NETWORKDAYS(A102,A103)</f>
        <v/>
      </c>
      <c r="D32" s="6" t="n">
        <v>119</v>
      </c>
      <c r="E32" s="4" t="inlineStr">
        <is>
          <t>С 01.01 до 15.06.2024</t>
        </is>
      </c>
    </row>
    <row r="33">
      <c r="A33" s="4" t="inlineStr">
        <is>
          <t>NETWORKDAYS.INTL</t>
        </is>
      </c>
      <c r="B33" s="4" t="inlineStr">
        <is>
          <t>Рабочие дни (пн-пт)</t>
        </is>
      </c>
      <c r="C33" s="5">
        <f>NETWORKDAYS.INTL(A102,A103,1)</f>
        <v/>
      </c>
      <c r="D33" s="6" t="n">
        <v>119</v>
      </c>
      <c r="E33" s="4" t="inlineStr">
        <is>
          <t>1 = выходные сб+вс</t>
        </is>
      </c>
    </row>
    <row r="34">
      <c r="A34" s="4" t="inlineStr">
        <is>
          <t>NETWORKDAYS.INTL</t>
        </is>
      </c>
      <c r="B34" s="4" t="inlineStr">
        <is>
          <t>Рабочие дни (вс только)</t>
        </is>
      </c>
      <c r="C34" s="5">
        <f>NETWORKDAYS.INTL(A102,A103,11)</f>
        <v/>
      </c>
      <c r="D34" s="6" t="n">
        <v>137</v>
      </c>
      <c r="E34" s="4" t="inlineStr">
        <is>
          <t>11 = только воскресенье</t>
        </is>
      </c>
    </row>
    <row r="35">
      <c r="A35" s="4" t="inlineStr">
        <is>
          <t>WORKDAY</t>
        </is>
      </c>
      <c r="B35" s="4" t="inlineStr">
        <is>
          <t>Дата через N раб. дней</t>
        </is>
      </c>
      <c r="C35" s="5">
        <f>WORKDAY(A102,10)</f>
        <v/>
      </c>
      <c r="D35" s="10" t="n">
        <v>45306</v>
      </c>
      <c r="E35" s="4" t="inlineStr">
        <is>
          <t>10 раб. дней после 01.01.2024</t>
        </is>
      </c>
    </row>
    <row r="36">
      <c r="A36" s="4" t="inlineStr">
        <is>
          <t>WORKDAY.INTL</t>
        </is>
      </c>
      <c r="B36" s="4" t="inlineStr">
        <is>
          <t>Раб. дни (настройка)</t>
        </is>
      </c>
      <c r="C36" s="5">
        <f>WORKDAY.INTL(A102,10,1)</f>
        <v/>
      </c>
      <c r="D36" s="10" t="n">
        <v>45306</v>
      </c>
      <c r="E36" s="4" t="inlineStr">
        <is>
          <t>То же с настройкой</t>
        </is>
      </c>
    </row>
    <row r="37">
      <c r="A37" s="4" t="inlineStr">
        <is>
          <t>YEARFRAC</t>
        </is>
      </c>
      <c r="B37" s="4" t="inlineStr">
        <is>
          <t>Доля года</t>
        </is>
      </c>
      <c r="C37" s="5">
        <f>YEARFRAC(A102,A101)</f>
        <v/>
      </c>
      <c r="D37" s="6" t="n">
        <v>0.997</v>
      </c>
      <c r="E37" s="4" t="inlineStr">
        <is>
          <t>Почти 1 год</t>
        </is>
      </c>
    </row>
    <row r="38">
      <c r="A38" s="4" t="inlineStr">
        <is>
          <t>YEARFRAC</t>
        </is>
      </c>
      <c r="B38" s="4" t="inlineStr">
        <is>
          <t>Доля года (ACT/ACT)</t>
        </is>
      </c>
      <c r="C38" s="5">
        <f>YEARFRAC(A102,A101,1)</f>
        <v/>
      </c>
      <c r="D38" s="6" t="n">
        <v>1</v>
      </c>
      <c r="E38" s="4" t="inlineStr">
        <is>
          <t>Точно 1 год</t>
        </is>
      </c>
    </row>
    <row r="39">
      <c r="A39" s="4" t="inlineStr">
        <is>
          <t>TIMEVALUE</t>
        </is>
      </c>
      <c r="B39" s="4" t="inlineStr">
        <is>
          <t>Время из текста</t>
        </is>
      </c>
      <c r="C39" s="5">
        <f>TIMEVALUE("14:30")</f>
        <v/>
      </c>
      <c r="D39" s="6" t="n">
        <v>0.604</v>
      </c>
      <c r="E39" s="4" t="inlineStr">
        <is>
          <t>14:30 = 0,604 доли суток</t>
        </is>
      </c>
    </row>
    <row r="40">
      <c r="A40" s="4" t="inlineStr">
        <is>
          <t>DATEVALUE</t>
        </is>
      </c>
      <c r="B40" s="4" t="inlineStr">
        <is>
          <t>Дата из текста</t>
        </is>
      </c>
      <c r="C40" s="5">
        <f>DATEVALUE("25.12.2024")</f>
        <v/>
      </c>
      <c r="D40" s="6" t="n">
        <v>45650</v>
      </c>
      <c r="E40" s="4" t="inlineStr">
        <is>
          <t>Сериальный номер</t>
        </is>
      </c>
    </row>
    <row r="41">
      <c r="A41" s="4" t="inlineStr">
        <is>
          <t>SECOND</t>
        </is>
      </c>
      <c r="B41" s="4" t="inlineStr">
        <is>
          <t>Секунды из времени</t>
        </is>
      </c>
      <c r="C41" s="5">
        <f>SECOND(TIME(14,30,45))</f>
        <v/>
      </c>
      <c r="D41" s="6" t="n">
        <v>45</v>
      </c>
      <c r="E41" s="4" t="inlineStr">
        <is>
          <t>45 секунд</t>
        </is>
      </c>
    </row>
    <row r="42">
      <c r="A42" s="4" t="inlineStr">
        <is>
          <t>MINUTE</t>
        </is>
      </c>
      <c r="B42" s="4" t="inlineStr">
        <is>
          <t>Минуты из времени</t>
        </is>
      </c>
      <c r="C42" s="5">
        <f>MINUTE(TIME(14,30,0))</f>
        <v/>
      </c>
      <c r="D42" s="6" t="n">
        <v>30</v>
      </c>
      <c r="E42" s="4" t="inlineStr">
        <is>
          <t>30 минут</t>
        </is>
      </c>
    </row>
    <row r="43">
      <c r="A43" s="4" t="inlineStr">
        <is>
          <t>HOUR</t>
        </is>
      </c>
      <c r="B43" s="4" t="inlineStr">
        <is>
          <t>Часы из времени</t>
        </is>
      </c>
      <c r="C43" s="5">
        <f>HOUR(TIME(14,30,0))</f>
        <v/>
      </c>
      <c r="D43" s="6" t="n">
        <v>14</v>
      </c>
      <c r="E43" s="4" t="inlineStr">
        <is>
          <t>14 часов</t>
        </is>
      </c>
    </row>
    <row r="44">
      <c r="A44" s="4" t="inlineStr">
        <is>
          <t>DATE</t>
        </is>
      </c>
      <c r="B44" s="4" t="inlineStr">
        <is>
          <t>Високосный год</t>
        </is>
      </c>
      <c r="C44" s="5">
        <f>DATE(2024,2,29)</f>
        <v/>
      </c>
      <c r="D44" s="10" t="n">
        <v>45351</v>
      </c>
      <c r="E44" s="4" t="inlineStr">
        <is>
          <t>2024 — високосный</t>
        </is>
      </c>
    </row>
    <row r="45">
      <c r="A45" s="4" t="inlineStr">
        <is>
          <t>DATE</t>
        </is>
      </c>
      <c r="B45" s="4" t="inlineStr">
        <is>
          <t>Невисокосный год</t>
        </is>
      </c>
      <c r="C45" s="5">
        <f>DATE(2023,2,29)</f>
        <v/>
      </c>
      <c r="D45" s="10" t="n">
        <v>44986</v>
      </c>
      <c r="E45" s="4" t="inlineStr">
        <is>
          <t>2023 — 29 февраля → 1 марта</t>
        </is>
      </c>
    </row>
    <row r="46">
      <c r="A46" s="4" t="inlineStr">
        <is>
          <t>DATEDIF</t>
        </is>
      </c>
      <c r="B46" s="4" t="inlineStr">
        <is>
          <t>Полных лет</t>
        </is>
      </c>
      <c r="C46" s="5">
        <f>DATEDIF(A101,TODAY(),"Y")</f>
        <v/>
      </c>
      <c r="D46" s="6" t="n">
        <v>6</v>
      </c>
      <c r="E46" s="4" t="inlineStr">
        <is>
          <t>Полных лет с 2020</t>
        </is>
      </c>
    </row>
    <row r="47">
      <c r="A47" s="4" t="inlineStr">
        <is>
          <t>DATEDIF</t>
        </is>
      </c>
      <c r="B47" s="4" t="inlineStr">
        <is>
          <t>Полных месяцев</t>
        </is>
      </c>
      <c r="C47" s="5">
        <f>DATEDIF(A101,TODAY(),"M")</f>
        <v/>
      </c>
      <c r="D47" s="6" t="n">
        <v>79</v>
      </c>
      <c r="E47" s="4" t="inlineStr">
        <is>
          <t>Полных месяцев</t>
        </is>
      </c>
    </row>
    <row r="48">
      <c r="A48" s="4" t="inlineStr">
        <is>
          <t>NETWORKDAYS</t>
        </is>
      </c>
      <c r="B48" s="4" t="inlineStr">
        <is>
          <t>С праздниками</t>
        </is>
      </c>
      <c r="C48" s="5">
        <f>NETWORKDAYS(A102,A103,A105:A106)</f>
        <v/>
      </c>
      <c r="D48" s="6" t="n">
        <v>118</v>
      </c>
      <c r="E48" s="4" t="inlineStr">
        <is>
          <t>Исключая 1 праздник</t>
        </is>
      </c>
    </row>
    <row r="49">
      <c r="A49" s="4" t="inlineStr">
        <is>
          <t>WORKDAY.INTL</t>
        </is>
      </c>
      <c r="B49" s="4" t="inlineStr">
        <is>
          <t>С праздниками</t>
        </is>
      </c>
      <c r="C49" s="5">
        <f>WORKDAY.INTL(A102,10,1,A105:A106)</f>
        <v/>
      </c>
      <c r="D49" s="10" t="n">
        <v>45307</v>
      </c>
      <c r="E49" s="4" t="inlineStr">
        <is>
          <t>С учётом праздников</t>
        </is>
      </c>
    </row>
    <row r="50">
      <c r="A50" s="4" t="inlineStr">
        <is>
          <t>EOMONTH</t>
        </is>
      </c>
      <c r="B50" s="4" t="inlineStr">
        <is>
          <t>Предыдущий месяц</t>
        </is>
      </c>
      <c r="C50" s="5">
        <f>EOMONTH(A103,-1)</f>
        <v/>
      </c>
      <c r="D50" s="10" t="n">
        <v>45443</v>
      </c>
      <c r="E50" s="4" t="inlineStr">
        <is>
          <t>Конец мая 2024</t>
        </is>
      </c>
    </row>
    <row r="51">
      <c r="A51" s="4" t="inlineStr">
        <is>
          <t>EDATE</t>
        </is>
      </c>
      <c r="B51" s="4" t="inlineStr">
        <is>
          <t>Год вперёд</t>
        </is>
      </c>
      <c r="C51" s="5">
        <f>EDATE(A103,12)</f>
        <v/>
      </c>
      <c r="D51" s="10" t="n">
        <v>45823</v>
      </c>
      <c r="E51" s="4" t="inlineStr">
        <is>
          <t>+12 месяцев</t>
        </is>
      </c>
    </row>
    <row r="52">
      <c r="A52" s="4" t="inlineStr">
        <is>
          <t>DAYS</t>
        </is>
      </c>
      <c r="B52" s="4" t="inlineStr">
        <is>
          <t>Отрицательная разница</t>
        </is>
      </c>
      <c r="C52" s="5">
        <f>DAYS(A101,A102)</f>
        <v/>
      </c>
      <c r="D52" s="6" t="n">
        <v>-1826</v>
      </c>
      <c r="E52" s="4" t="inlineStr">
        <is>
          <t>01.01.2020 − 31.12.2024</t>
        </is>
      </c>
    </row>
    <row r="53">
      <c r="A53" s="4" t="inlineStr">
        <is>
          <t>TIMEVALUE</t>
        </is>
      </c>
      <c r="B53" s="4" t="inlineStr">
        <is>
          <t>Полночь</t>
        </is>
      </c>
      <c r="C53" s="5">
        <f>TIMEVALUE("00:00")</f>
        <v/>
      </c>
      <c r="D53" s="6" t="n">
        <v>0</v>
      </c>
      <c r="E53" s="4" t="inlineStr">
        <is>
          <t>0:00 = 0</t>
        </is>
      </c>
    </row>
    <row r="54">
      <c r="A54" s="4" t="inlineStr">
        <is>
          <t>TIMEVALUE</t>
        </is>
      </c>
      <c r="B54" s="4" t="inlineStr">
        <is>
          <t>Полдень</t>
        </is>
      </c>
      <c r="C54" s="5">
        <f>TIMEVALUE("12:00")</f>
        <v/>
      </c>
      <c r="D54" s="6" t="n">
        <v>0.5</v>
      </c>
      <c r="E54" s="4" t="inlineStr">
        <is>
          <t>12:00 = 0,5</t>
        </is>
      </c>
    </row>
    <row r="55">
      <c r="A55" s="4" t="inlineStr">
        <is>
          <t>WEEKNUM</t>
        </is>
      </c>
      <c r="B55" s="4" t="inlineStr">
        <is>
          <t>Система 21 (ISO)</t>
        </is>
      </c>
      <c r="C55" s="5">
        <f>WEEKNUM(A102,21)</f>
        <v/>
      </c>
      <c r="D55" s="6" t="n">
        <v>1</v>
      </c>
      <c r="E55" s="4" t="inlineStr">
        <is>
          <t>ISO-неделя</t>
        </is>
      </c>
    </row>
    <row r="100">
      <c r="A100" s="9" t="inlineStr">
        <is>
          <t>Дата1</t>
        </is>
      </c>
      <c r="B100" s="9" t="inlineStr">
        <is>
          <t>Дата2</t>
        </is>
      </c>
    </row>
    <row r="101">
      <c r="A101" s="12" t="n">
        <v>43831</v>
      </c>
      <c r="B101" s="12" t="n">
        <v>45657</v>
      </c>
    </row>
    <row r="102">
      <c r="A102" s="12" t="n">
        <v>45292</v>
      </c>
      <c r="B102" s="12" t="n">
        <v>45473</v>
      </c>
    </row>
    <row r="103">
      <c r="A103" s="12" t="n">
        <v>45458</v>
      </c>
      <c r="B103" s="12" t="n">
        <v>45322</v>
      </c>
    </row>
    <row r="104">
      <c r="A104" s="12" t="n">
        <v>45651</v>
      </c>
      <c r="B104" s="12" t="n">
        <v>45352</v>
      </c>
    </row>
    <row r="105">
      <c r="A105" s="12" t="n">
        <v>45351</v>
      </c>
      <c r="B105" s="12" t="n">
        <v>45291</v>
      </c>
    </row>
    <row r="107">
      <c r="A107" s="13" t="n">
        <v>0.6041666666666666</v>
      </c>
      <c r="B107" s="9" t="inlineStr">
        <is>
          <t>Время1</t>
        </is>
      </c>
    </row>
    <row r="108">
      <c r="A108" s="13" t="n">
        <v>0.375</v>
      </c>
      <c r="B108" s="9" t="inlineStr">
        <is>
          <t>Время2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52" customWidth="1" min="3" max="3"/>
    <col width="22" customWidth="1" min="4" max="4"/>
    <col width="45" customWidth="1" min="5" max="5"/>
  </cols>
  <sheetData>
    <row r="1">
      <c r="A1" s="1" t="inlineStr">
        <is>
          <t>СПРАВОЧНЫЕ ФУНКЦИИ (ПОИСК)</t>
        </is>
      </c>
      <c r="B1" s="2" t="n"/>
      <c r="C1" s="2" t="n"/>
      <c r="D1" s="2" t="n"/>
      <c r="E1" s="2" t="n"/>
    </row>
    <row r="2">
      <c r="A2" s="3" t="inlineStr">
        <is>
          <t>Функция</t>
        </is>
      </c>
      <c r="B2" s="3" t="inlineStr">
        <is>
          <t>Описание</t>
        </is>
      </c>
      <c r="C2" s="3" t="inlineStr">
        <is>
          <t>Формула</t>
        </is>
      </c>
      <c r="D2" s="3" t="inlineStr">
        <is>
          <t>Результат</t>
        </is>
      </c>
      <c r="E2" s="3" t="inlineStr">
        <is>
          <t>Примечания</t>
        </is>
      </c>
    </row>
    <row r="3">
      <c r="A3" s="4" t="inlineStr">
        <is>
          <t>VLOOKUP</t>
        </is>
      </c>
      <c r="B3" s="4" t="inlineStr">
        <is>
          <t>Вертикальный поиск</t>
        </is>
      </c>
      <c r="C3" s="5">
        <f>VLOOKUP("Иванов",A101:D106,2,FALSE)</f>
        <v/>
      </c>
      <c r="D3" s="6" t="inlineStr">
        <is>
          <t>Иван</t>
        </is>
      </c>
      <c r="E3" s="4" t="inlineStr">
        <is>
          <t>Точное совпадение</t>
        </is>
      </c>
    </row>
    <row r="4">
      <c r="A4" s="4" t="inlineStr">
        <is>
          <t>VLOOKUP</t>
        </is>
      </c>
      <c r="B4" s="4" t="inlineStr">
        <is>
          <t>Поиск зарплаты</t>
        </is>
      </c>
      <c r="C4" s="5">
        <f>VLOOKUP("Иванов",A101:D106,3,FALSE)</f>
        <v/>
      </c>
      <c r="D4" s="6" t="n">
        <v>50000</v>
      </c>
      <c r="E4" s="4" t="inlineStr">
        <is>
          <t>3-й столбец</t>
        </is>
      </c>
    </row>
    <row r="5">
      <c r="A5" s="4" t="inlineStr">
        <is>
          <t>VLOOKUP</t>
        </is>
      </c>
      <c r="B5" s="4" t="inlineStr">
        <is>
          <t>Поиск отдела</t>
        </is>
      </c>
      <c r="C5" s="5">
        <f>VLOOKUP("Иванов",A101:D106,4,FALSE)</f>
        <v/>
      </c>
      <c r="D5" s="6" t="inlineStr">
        <is>
          <t>IT</t>
        </is>
      </c>
      <c r="E5" s="4" t="inlineStr">
        <is>
          <t>4-й столбец</t>
        </is>
      </c>
    </row>
    <row r="6">
      <c r="A6" s="4" t="inlineStr">
        <is>
          <t>VLOOKUP</t>
        </is>
      </c>
      <c r="B6" s="4" t="inlineStr">
        <is>
          <t>Приблизительный поиск</t>
        </is>
      </c>
      <c r="C6" s="5">
        <f>VLOOKUP(58000,C101:D106,2,TRUE)</f>
        <v/>
      </c>
      <c r="D6" s="6" t="inlineStr">
        <is>
          <t>HR</t>
        </is>
      </c>
      <c r="E6" s="4" t="inlineStr">
        <is>
          <t>Ближайшее снизу</t>
        </is>
      </c>
    </row>
    <row r="7">
      <c r="A7" s="4" t="inlineStr">
        <is>
          <t>HLOOKUP</t>
        </is>
      </c>
      <c r="B7" s="4" t="inlineStr">
        <is>
          <t>Горизонтальный поиск</t>
        </is>
      </c>
      <c r="C7" s="5">
        <f>HLOOKUP("Имя",A100:D101,2,FALSE)</f>
        <v/>
      </c>
      <c r="D7" s="6" t="inlineStr">
        <is>
          <t>Иван</t>
        </is>
      </c>
      <c r="E7" s="4" t="inlineStr">
        <is>
          <t>Ищет в строке</t>
        </is>
      </c>
    </row>
    <row r="8">
      <c r="A8" s="4" t="inlineStr">
        <is>
          <t>HLOOKUP</t>
        </is>
      </c>
      <c r="B8" s="4" t="inlineStr">
        <is>
          <t>Поиск по заголовку</t>
        </is>
      </c>
      <c r="C8" s="5">
        <f>HLOOKUP("Зарплата",A100:D101,3,FALSE)</f>
        <v/>
      </c>
      <c r="D8" s="6" t="n">
        <v>55000</v>
      </c>
      <c r="E8" s="4" t="inlineStr">
        <is>
          <t>3-я строка</t>
        </is>
      </c>
    </row>
    <row r="9">
      <c r="A9" s="4" t="inlineStr">
        <is>
          <t>XLOOKUP</t>
        </is>
      </c>
      <c r="B9" s="4" t="inlineStr">
        <is>
          <t>Универсальный поиск</t>
        </is>
      </c>
      <c r="C9" s="5">
        <f>XLOOKUP("Иванов",A101:A106,B101:B106)</f>
        <v/>
      </c>
      <c r="D9" s="6" t="inlineStr">
        <is>
          <t>Иван</t>
        </is>
      </c>
      <c r="E9" s="4" t="inlineStr">
        <is>
          <t>Excel 365+</t>
        </is>
      </c>
    </row>
    <row r="10">
      <c r="A10" s="4" t="inlineStr">
        <is>
          <t>XLOOKUP</t>
        </is>
      </c>
      <c r="B10" s="4" t="inlineStr">
        <is>
          <t>Поиск с ошибкой</t>
        </is>
      </c>
      <c r="C10" s="5">
        <f>XLOOKUP("Неизвестный",A101:A106,B101:B106,"Нет")</f>
        <v/>
      </c>
      <c r="D10" s="6" t="inlineStr">
        <is>
          <t>Нет</t>
        </is>
      </c>
      <c r="E10" s="4" t="inlineStr">
        <is>
          <t>Значение по умолчанию</t>
        </is>
      </c>
    </row>
    <row r="11">
      <c r="A11" s="4" t="inlineStr">
        <is>
          <t>XLOOKUP</t>
        </is>
      </c>
      <c r="B11" s="4" t="inlineStr">
        <is>
          <t>Поиск в обратном порядке</t>
        </is>
      </c>
      <c r="C11" s="5">
        <f>XLOOKUP("HR",D101:D106,A101:A106,,,-1)</f>
        <v/>
      </c>
      <c r="D11" s="6" t="inlineStr">
        <is>
          <t>Попов</t>
        </is>
      </c>
      <c r="E11" s="4" t="inlineStr">
        <is>
          <t>Ищет с конца</t>
        </is>
      </c>
    </row>
    <row r="12">
      <c r="A12" s="4" t="inlineStr">
        <is>
          <t>XLOOKUP</t>
        </is>
      </c>
      <c r="B12" s="4" t="inlineStr">
        <is>
          <t>Возврат нескольких столбцов</t>
        </is>
      </c>
      <c r="C12" s="5">
        <f>XLOOKUP("Иванов",A101:A106,B101:D106)</f>
        <v/>
      </c>
      <c r="D12" s="6" t="inlineStr">
        <is>
          <t>Иван, 50000, IT</t>
        </is>
      </c>
      <c r="E12" s="4" t="inlineStr">
        <is>
          <t>Массив</t>
        </is>
      </c>
    </row>
    <row r="13">
      <c r="A13" s="4" t="inlineStr">
        <is>
          <t>XMATCH</t>
        </is>
      </c>
      <c r="B13" s="4" t="inlineStr">
        <is>
          <t>Позиция (точное)</t>
        </is>
      </c>
      <c r="C13" s="5">
        <f>XMATCH("Иванов",A101:A106,0)</f>
        <v/>
      </c>
      <c r="D13" s="6" t="n">
        <v>1</v>
      </c>
      <c r="E13" s="4" t="inlineStr">
        <is>
          <t>0 = точное совпадение</t>
        </is>
      </c>
    </row>
    <row r="14">
      <c r="A14" s="4" t="inlineStr">
        <is>
          <t>XMATCH</t>
        </is>
      </c>
      <c r="B14" s="4" t="inlineStr">
        <is>
          <t>Позиция (следующее большее)</t>
        </is>
      </c>
      <c r="C14" s="5">
        <f>XMATCH(58000,C101:C106,1)</f>
        <v/>
      </c>
      <c r="D14" s="6" t="n">
        <v>3</v>
      </c>
      <c r="E14" s="4" t="inlineStr">
        <is>
          <t>1 = следующее большее</t>
        </is>
      </c>
    </row>
    <row r="15">
      <c r="A15" s="4" t="inlineStr">
        <is>
          <t>XMATCH</t>
        </is>
      </c>
      <c r="B15" s="4" t="inlineStr">
        <is>
          <t>Позиция (следующее меньшее)</t>
        </is>
      </c>
      <c r="C15" s="5">
        <f>XMATCH(58000,C101:C106,-1)</f>
        <v/>
      </c>
      <c r="D15" s="6" t="n">
        <v>2</v>
      </c>
      <c r="E15" s="4" t="inlineStr">
        <is>
          <t>−1 = следующее меньшее</t>
        </is>
      </c>
    </row>
    <row r="16">
      <c r="A16" s="4" t="inlineStr">
        <is>
          <t>INDEX</t>
        </is>
      </c>
      <c r="B16" s="4" t="inlineStr">
        <is>
          <t>Значение по индексу</t>
        </is>
      </c>
      <c r="C16" s="5">
        <f>INDEX(A101:D106,2,3)</f>
        <v/>
      </c>
      <c r="D16" s="6" t="n">
        <v>60000</v>
      </c>
      <c r="E16" s="4" t="inlineStr">
        <is>
          <t>2-я строка, 3-й столбец</t>
        </is>
      </c>
    </row>
    <row r="17">
      <c r="A17" s="4" t="inlineStr">
        <is>
          <t>INDEX</t>
        </is>
      </c>
      <c r="B17" s="4" t="inlineStr">
        <is>
          <t>Вся строка</t>
        </is>
      </c>
      <c r="C17" s="5">
        <f>INDEX(A101:D106,2,0)</f>
        <v/>
      </c>
      <c r="D17" s="6" t="inlineStr">
        <is>
          <t>Петров, Пётр, 60000, Бухгалтерия</t>
        </is>
      </c>
      <c r="E17" s="4" t="inlineStr">
        <is>
          <t>0 = вся строка</t>
        </is>
      </c>
    </row>
    <row r="18">
      <c r="A18" s="4" t="inlineStr">
        <is>
          <t>INDEX</t>
        </is>
      </c>
      <c r="B18" s="4" t="inlineStr">
        <is>
          <t>Весь столбец</t>
        </is>
      </c>
      <c r="C18" s="5">
        <f>INDEX(A101:D106,0,3)</f>
        <v/>
      </c>
      <c r="D18" s="6" t="inlineStr">
        <is>
          <t>50000;60000;55000;70000;45000;65000</t>
        </is>
      </c>
      <c r="E18" s="4" t="inlineStr">
        <is>
          <t>0 = весь столбец</t>
        </is>
      </c>
    </row>
    <row r="19">
      <c r="A19" s="4" t="inlineStr">
        <is>
          <t>MATCH</t>
        </is>
      </c>
      <c r="B19" s="4" t="inlineStr">
        <is>
          <t>Позиция (точное)</t>
        </is>
      </c>
      <c r="C19" s="5">
        <f>MATCH("Иванов",A101:A106,0)</f>
        <v/>
      </c>
      <c r="D19" s="6" t="n">
        <v>1</v>
      </c>
      <c r="E19" s="4" t="inlineStr">
        <is>
          <t>0 = точное совпадение</t>
        </is>
      </c>
    </row>
    <row r="20">
      <c r="A20" s="4" t="inlineStr">
        <is>
          <t>MATCH</t>
        </is>
      </c>
      <c r="B20" s="4" t="inlineStr">
        <is>
          <t>Позиция (меньше)</t>
        </is>
      </c>
      <c r="C20" s="5">
        <f>MATCH(58000,C101:C106,1)</f>
        <v/>
      </c>
      <c r="D20" s="6" t="n">
        <v>3</v>
      </c>
      <c r="E20" s="4" t="inlineStr">
        <is>
          <t>1 = меньше или равно</t>
        </is>
      </c>
    </row>
    <row r="21">
      <c r="A21" s="4" t="inlineStr">
        <is>
          <t>MATCH</t>
        </is>
      </c>
      <c r="B21" s="4" t="inlineStr">
        <is>
          <t>Позиция (больше)</t>
        </is>
      </c>
      <c r="C21" s="5">
        <f>MATCH(58000,C101:C106,-1)</f>
        <v/>
      </c>
      <c r="D21" s="6" t="n">
        <v>2</v>
      </c>
      <c r="E21" s="4" t="inlineStr">
        <is>
          <t>−1 = больше или равно</t>
        </is>
      </c>
    </row>
    <row r="22">
      <c r="A22" s="4" t="inlineStr">
        <is>
          <t>INDEX+MATCH</t>
        </is>
      </c>
      <c r="B22" s="4" t="inlineStr">
        <is>
          <t>Гибкий поиск</t>
        </is>
      </c>
      <c r="C22" s="5">
        <f>INDEX(B101:B106,MATCH("Иванов",A101:A106,0))</f>
        <v/>
      </c>
      <c r="D22" s="6" t="inlineStr">
        <is>
          <t>Иван</t>
        </is>
      </c>
      <c r="E22" s="4" t="inlineStr">
        <is>
          <t>Альтернатива VLOOKUP</t>
        </is>
      </c>
    </row>
    <row r="23">
      <c r="A23" s="4" t="inlineStr">
        <is>
          <t>INDEX+MATCH</t>
        </is>
      </c>
      <c r="B23" s="4" t="inlineStr">
        <is>
          <t>Поиск влево</t>
        </is>
      </c>
      <c r="C23" s="5">
        <f>INDEX(A101:A106,MATCH(70000,C101:C106,0))</f>
        <v/>
      </c>
      <c r="D23" s="6" t="inlineStr">
        <is>
          <t>Кузнецов</t>
        </is>
      </c>
      <c r="E23" s="4" t="inlineStr">
        <is>
          <t>VLOOKUP не умеет влево</t>
        </is>
      </c>
    </row>
    <row r="24">
      <c r="A24" s="4" t="inlineStr">
        <is>
          <t>OFFSET</t>
        </is>
      </c>
      <c r="B24" s="4" t="inlineStr">
        <is>
          <t>Смещение на ячейку</t>
        </is>
      </c>
      <c r="C24" s="5">
        <f>OFFSET(A101,2,1)</f>
        <v/>
      </c>
      <c r="D24" s="6" t="inlineStr">
        <is>
          <t>Сидор</t>
        </is>
      </c>
      <c r="E24" s="4" t="inlineStr">
        <is>
          <t>2 строки вниз, 1 столбец вправо</t>
        </is>
      </c>
    </row>
    <row r="25">
      <c r="A25" s="4" t="inlineStr">
        <is>
          <t>OFFSET</t>
        </is>
      </c>
      <c r="B25" s="4" t="inlineStr">
        <is>
          <t>Смещение диапазона</t>
        </is>
      </c>
      <c r="C25" s="5">
        <f>SUM(OFFSET(C101,0,0,3,1))</f>
        <v/>
      </c>
      <c r="D25" s="6" t="n">
        <v>165000</v>
      </c>
      <c r="E25" s="4" t="inlineStr">
        <is>
          <t>Сумма C101:C103</t>
        </is>
      </c>
    </row>
    <row r="26">
      <c r="A26" s="4" t="inlineStr">
        <is>
          <t>OFFSET</t>
        </is>
      </c>
      <c r="B26" s="4" t="inlineStr">
        <is>
          <t>Динамический диапазон</t>
        </is>
      </c>
      <c r="C26" s="5">
        <f>COUNTA(OFFSET(A101,0,0,6,1))</f>
        <v/>
      </c>
      <c r="D26" s="6" t="n">
        <v>6</v>
      </c>
      <c r="E26" s="4" t="inlineStr">
        <is>
          <t>6 фамилий</t>
        </is>
      </c>
    </row>
    <row r="27">
      <c r="A27" s="4" t="inlineStr">
        <is>
          <t>INDIRECT</t>
        </is>
      </c>
      <c r="B27" s="4" t="inlineStr">
        <is>
          <t>Косвенная ссылка</t>
        </is>
      </c>
      <c r="C27" s="5">
        <f>INDIRECT("A"&amp;101)</f>
        <v/>
      </c>
      <c r="D27" s="6" t="inlineStr">
        <is>
          <t>Иванов</t>
        </is>
      </c>
      <c r="E27" s="4" t="inlineStr">
        <is>
          <t>Ссылка из текста</t>
        </is>
      </c>
    </row>
    <row r="28">
      <c r="A28" s="4" t="inlineStr">
        <is>
          <t>INDIRECT</t>
        </is>
      </c>
      <c r="B28" s="4" t="inlineStr">
        <is>
          <t>Косвенный диапазон</t>
        </is>
      </c>
      <c r="C28" s="5">
        <f>SUM(INDIRECT("C101:C103"))</f>
        <v/>
      </c>
      <c r="D28" s="6" t="n">
        <v>165000</v>
      </c>
      <c r="E28" s="4" t="inlineStr">
        <is>
          <t>Сумма через текст</t>
        </is>
      </c>
    </row>
    <row r="29">
      <c r="A29" s="4" t="inlineStr">
        <is>
          <t>INDIRECT</t>
        </is>
      </c>
      <c r="B29" s="4" t="inlineStr">
        <is>
          <t>Ссылка на другой лист</t>
        </is>
      </c>
      <c r="C29" s="5">
        <f>INDIRECT("'01_Математика'!A100")</f>
        <v/>
      </c>
      <c r="D29" s="6" t="n">
        <v>10</v>
      </c>
      <c r="E29" s="4" t="inlineStr">
        <is>
          <t>Ссылка на другой лист</t>
        </is>
      </c>
    </row>
    <row r="30">
      <c r="A30" s="4" t="inlineStr">
        <is>
          <t>ADDRESS</t>
        </is>
      </c>
      <c r="B30" s="4" t="inlineStr">
        <is>
          <t>Адрес ячейки</t>
        </is>
      </c>
      <c r="C30" s="5">
        <f>ADDRESS(2,3)</f>
        <v/>
      </c>
      <c r="D30" s="6" t="inlineStr">
        <is>
          <t>$C$2</t>
        </is>
      </c>
      <c r="E30" s="4" t="inlineStr">
        <is>
          <t>Абсолютная ссылка</t>
        </is>
      </c>
    </row>
    <row r="31">
      <c r="A31" s="4" t="inlineStr">
        <is>
          <t>ADDRESS</t>
        </is>
      </c>
      <c r="B31" s="4" t="inlineStr">
        <is>
          <t>Относительный адрес</t>
        </is>
      </c>
      <c r="C31" s="5">
        <f>ADDRESS(2,3,4)</f>
        <v/>
      </c>
      <c r="D31" s="6" t="inlineStr">
        <is>
          <t>C2</t>
        </is>
      </c>
      <c r="E31" s="4" t="inlineStr">
        <is>
          <t>4 = относительная</t>
        </is>
      </c>
    </row>
    <row r="32">
      <c r="A32" s="4" t="inlineStr">
        <is>
          <t>ADDRESS</t>
        </is>
      </c>
      <c r="B32" s="4" t="inlineStr">
        <is>
          <t>Адрес с именем листа</t>
        </is>
      </c>
      <c r="C32" s="5">
        <f>ADDRESS(2,3,1,1,"Лист1")</f>
        <v/>
      </c>
      <c r="D32" s="6" t="inlineStr">
        <is>
          <t>'Лист1'!$C$2</t>
        </is>
      </c>
      <c r="E32" s="4" t="inlineStr">
        <is>
          <t>С именем листа</t>
        </is>
      </c>
    </row>
    <row r="33">
      <c r="A33" s="4" t="inlineStr">
        <is>
          <t>CHOOSE</t>
        </is>
      </c>
      <c r="B33" s="4" t="inlineStr">
        <is>
          <t>Выбор по номеру</t>
        </is>
      </c>
      <c r="C33" s="5">
        <f>CHOOSE(2,"Пн","Вт","Ср")</f>
        <v/>
      </c>
      <c r="D33" s="6" t="inlineStr">
        <is>
          <t>Вт</t>
        </is>
      </c>
      <c r="E33" s="4" t="inlineStr">
        <is>
          <t>2-й аргумент</t>
        </is>
      </c>
    </row>
    <row r="34">
      <c r="A34" s="4" t="inlineStr">
        <is>
          <t>CHOOSE</t>
        </is>
      </c>
      <c r="B34" s="4" t="inlineStr">
        <is>
          <t>Выбор из массива</t>
        </is>
      </c>
      <c r="C34" s="5">
        <f>CHOOSE(3,A101,A102,A103)</f>
        <v/>
      </c>
      <c r="D34" s="6" t="inlineStr">
        <is>
          <t>Сидоров</t>
        </is>
      </c>
      <c r="E34" s="4" t="inlineStr">
        <is>
          <t>3-я фамилия</t>
        </is>
      </c>
    </row>
    <row r="35">
      <c r="A35" s="4" t="inlineStr">
        <is>
          <t>ROW</t>
        </is>
      </c>
      <c r="B35" s="4" t="inlineStr">
        <is>
          <t>Номер строки</t>
        </is>
      </c>
      <c r="C35" s="5">
        <f>ROW()</f>
        <v/>
      </c>
      <c r="D35" s="6" t="inlineStr">
        <is>
          <t>Текущий</t>
        </is>
      </c>
      <c r="E35" s="4" t="inlineStr">
        <is>
          <t>Номер текущей строки</t>
        </is>
      </c>
    </row>
    <row r="36">
      <c r="A36" s="4" t="inlineStr">
        <is>
          <t>ROW</t>
        </is>
      </c>
      <c r="B36" s="4" t="inlineStr">
        <is>
          <t>Номер строки ячейки</t>
        </is>
      </c>
      <c r="C36" s="5">
        <f>ROW(A101)</f>
        <v/>
      </c>
      <c r="D36" s="6" t="n">
        <v>101</v>
      </c>
      <c r="E36" s="4" t="inlineStr">
        <is>
          <t>Строка ячейки A101</t>
        </is>
      </c>
    </row>
    <row r="37">
      <c r="A37" s="4" t="inlineStr">
        <is>
          <t>COLUMN</t>
        </is>
      </c>
      <c r="B37" s="4" t="inlineStr">
        <is>
          <t>Номер столбца</t>
        </is>
      </c>
      <c r="C37" s="5">
        <f>COLUMN()</f>
        <v/>
      </c>
      <c r="D37" s="6" t="inlineStr">
        <is>
          <t>Текущий</t>
        </is>
      </c>
      <c r="E37" s="4" t="inlineStr">
        <is>
          <t>Номер текущего столбца</t>
        </is>
      </c>
    </row>
    <row r="38">
      <c r="A38" s="4" t="inlineStr">
        <is>
          <t>COLUMN</t>
        </is>
      </c>
      <c r="B38" s="4" t="inlineStr">
        <is>
          <t>Номер столбца ячейки</t>
        </is>
      </c>
      <c r="C38" s="5">
        <f>COLUMN(D101)</f>
        <v/>
      </c>
      <c r="D38" s="6" t="n">
        <v>4</v>
      </c>
      <c r="E38" s="4" t="inlineStr">
        <is>
          <t>Столбец D = 4</t>
        </is>
      </c>
    </row>
    <row r="39">
      <c r="A39" s="4" t="inlineStr">
        <is>
          <t>ROWS</t>
        </is>
      </c>
      <c r="B39" s="4" t="inlineStr">
        <is>
          <t>Количество строк</t>
        </is>
      </c>
      <c r="C39" s="5">
        <f>ROWS(A101:D106)</f>
        <v/>
      </c>
      <c r="D39" s="6" t="n">
        <v>6</v>
      </c>
      <c r="E39" s="4" t="inlineStr">
        <is>
          <t>6 строк</t>
        </is>
      </c>
    </row>
    <row r="40">
      <c r="A40" s="4" t="inlineStr">
        <is>
          <t>COLUMNS</t>
        </is>
      </c>
      <c r="B40" s="4" t="inlineStr">
        <is>
          <t>Количество столбцов</t>
        </is>
      </c>
      <c r="C40" s="5">
        <f>COLUMNS(A101:D106)</f>
        <v/>
      </c>
      <c r="D40" s="6" t="n">
        <v>4</v>
      </c>
      <c r="E40" s="4" t="inlineStr">
        <is>
          <t>4 столбца</t>
        </is>
      </c>
    </row>
    <row r="41">
      <c r="A41" s="4" t="inlineStr">
        <is>
          <t>AREAS</t>
        </is>
      </c>
      <c r="B41" s="4" t="inlineStr">
        <is>
          <t>Количество областей</t>
        </is>
      </c>
      <c r="C41" s="5">
        <f>AREAS((A101:B102,C101:D102))</f>
        <v/>
      </c>
      <c r="D41" s="6" t="n">
        <v>2</v>
      </c>
      <c r="E41" s="4" t="inlineStr">
        <is>
          <t>2 несмежных диапазона</t>
        </is>
      </c>
    </row>
    <row r="42">
      <c r="A42" s="4" t="inlineStr">
        <is>
          <t>TRANSPOSE</t>
        </is>
      </c>
      <c r="B42" s="4" t="inlineStr">
        <is>
          <t>Транспонирование</t>
        </is>
      </c>
      <c r="C42" s="5">
        <f>TRANSPOSE(F100:H100)</f>
        <v/>
      </c>
      <c r="D42" s="6" t="inlineStr">
        <is>
          <t>1; 2; 3</t>
        </is>
      </c>
      <c r="E42" s="4" t="inlineStr">
        <is>
          <t>Строка → столбец</t>
        </is>
      </c>
    </row>
    <row r="43">
      <c r="A43" s="4" t="inlineStr">
        <is>
          <t>TRANSPOSE</t>
        </is>
      </c>
      <c r="B43" s="4" t="inlineStr">
        <is>
          <t>Транспонирование матрицы</t>
        </is>
      </c>
      <c r="C43" s="5">
        <f>TRANSPOSE(F100:H102)</f>
        <v/>
      </c>
      <c r="D43" s="6" t="inlineStr">
        <is>
          <t>3×3</t>
        </is>
      </c>
      <c r="E43" s="4" t="inlineStr">
        <is>
          <t>Меняет строки и столбцы</t>
        </is>
      </c>
    </row>
    <row r="44">
      <c r="A44" s="4" t="inlineStr">
        <is>
          <t>FORMULATEXT</t>
        </is>
      </c>
      <c r="B44" s="4" t="inlineStr">
        <is>
          <t>Текст формулы</t>
        </is>
      </c>
      <c r="C44" s="5">
        <f>FORMULATEXT(C3)</f>
        <v/>
      </c>
      <c r="D44" s="6">
        <f>SUM(10,20,30,40)</f>
        <v/>
      </c>
      <c r="E44" s="4" t="inlineStr">
        <is>
          <t>Показывает формулу</t>
        </is>
      </c>
    </row>
    <row r="45">
      <c r="A45" s="4" t="inlineStr">
        <is>
          <t>GETPIVOTDATA</t>
        </is>
      </c>
      <c r="B45" s="4" t="inlineStr">
        <is>
          <t>Данные сводной таблицы</t>
        </is>
      </c>
      <c r="C45" s="5">
        <f>GETPIVOTDATA("Сумма",A1,"Отдел","IT")</f>
        <v/>
      </c>
      <c r="D45" s="6" t="inlineStr">
        <is>
          <t>См. сводную</t>
        </is>
      </c>
      <c r="E45" s="4" t="inlineStr">
        <is>
          <t>Извлекает из сводной</t>
        </is>
      </c>
    </row>
    <row r="46">
      <c r="A46" s="4" t="inlineStr">
        <is>
          <t>HYPERLINK</t>
        </is>
      </c>
      <c r="B46" s="4" t="inlineStr">
        <is>
          <t>Создание ссылки</t>
        </is>
      </c>
      <c r="C46" s="5">
        <f>HYPERLINK("https://google.com","Google")</f>
        <v/>
      </c>
      <c r="D46" s="6" t="inlineStr">
        <is>
          <t>Google</t>
        </is>
      </c>
      <c r="E46" s="4" t="inlineStr">
        <is>
          <t>Кликабельная ссылка</t>
        </is>
      </c>
    </row>
    <row r="47">
      <c r="A47" s="4" t="inlineStr">
        <is>
          <t>HYPERLINK</t>
        </is>
      </c>
      <c r="B47" s="4" t="inlineStr">
        <is>
          <t>Ссылка на ячейку</t>
        </is>
      </c>
      <c r="C47" s="5">
        <f>HYPERLINK("#A101","Перейти к A101")</f>
        <v/>
      </c>
      <c r="D47" s="6" t="inlineStr">
        <is>
          <t>Перейти к A101</t>
        </is>
      </c>
      <c r="E47" s="4" t="inlineStr">
        <is>
          <t>Внутренняя ссылка</t>
        </is>
      </c>
    </row>
    <row r="48">
      <c r="A48" s="4" t="inlineStr">
        <is>
          <t>LOOKUP</t>
        </is>
      </c>
      <c r="B48" s="4" t="inlineStr">
        <is>
          <t>Поиск (векторный)</t>
        </is>
      </c>
      <c r="C48" s="5">
        <f>LOOKUP("Иванов",A101:A106,B101:B106)</f>
        <v/>
      </c>
      <c r="D48" s="6" t="inlineStr">
        <is>
          <t>Иван</t>
        </is>
      </c>
      <c r="E48" s="4" t="inlineStr">
        <is>
          <t>Требует сортировки</t>
        </is>
      </c>
    </row>
    <row r="49">
      <c r="A49" s="4" t="inlineStr">
        <is>
          <t>LOOKUP</t>
        </is>
      </c>
      <c r="B49" s="4" t="inlineStr">
        <is>
          <t>Поиск (массив)</t>
        </is>
      </c>
      <c r="C49" s="5">
        <f>LOOKUP("Иванов",A101:D106)</f>
        <v/>
      </c>
      <c r="D49" s="6" t="inlineStr">
        <is>
          <t>Иван</t>
        </is>
      </c>
      <c r="E49" s="4" t="inlineStr">
        <is>
          <t>Возвращает последний столбец</t>
        </is>
      </c>
    </row>
    <row r="50">
      <c r="A50" s="4" t="inlineStr">
        <is>
          <t>SHEET</t>
        </is>
      </c>
      <c r="B50" s="4" t="inlineStr">
        <is>
          <t>Номер листа</t>
        </is>
      </c>
      <c r="C50" s="5">
        <f>SHEET()</f>
        <v/>
      </c>
      <c r="D50" s="6" t="n">
        <v>6</v>
      </c>
      <c r="E50" s="4" t="inlineStr">
        <is>
          <t>Номер текущего листа</t>
        </is>
      </c>
    </row>
    <row r="51">
      <c r="A51" s="4" t="inlineStr">
        <is>
          <t>SHEETS</t>
        </is>
      </c>
      <c r="B51" s="4" t="inlineStr">
        <is>
          <t>Количество листов</t>
        </is>
      </c>
      <c r="C51" s="5">
        <f>SHEETS()</f>
        <v/>
      </c>
      <c r="D51" s="6" t="n">
        <v>6</v>
      </c>
      <c r="E51" s="4" t="inlineStr">
        <is>
          <t>Всего листов в книге</t>
        </is>
      </c>
    </row>
    <row r="52">
      <c r="A52" s="4" t="inlineStr">
        <is>
          <t>TYPE</t>
        </is>
      </c>
      <c r="B52" s="4" t="inlineStr">
        <is>
          <t>Тип данных</t>
        </is>
      </c>
      <c r="C52" s="5">
        <f>TYPE(A101)</f>
        <v/>
      </c>
      <c r="D52" s="6" t="n">
        <v>1</v>
      </c>
      <c r="E52" s="4" t="inlineStr">
        <is>
          <t>1 = число</t>
        </is>
      </c>
    </row>
    <row r="53">
      <c r="A53" s="4" t="inlineStr">
        <is>
          <t>TYPE</t>
        </is>
      </c>
      <c r="B53" s="4" t="inlineStr">
        <is>
          <t>Тип текста</t>
        </is>
      </c>
      <c r="C53" s="5">
        <f>TYPE("текст")</f>
        <v/>
      </c>
      <c r="D53" s="6" t="n">
        <v>2</v>
      </c>
      <c r="E53" s="4" t="inlineStr">
        <is>
          <t>2 = текст</t>
        </is>
      </c>
    </row>
    <row r="54">
      <c r="A54" s="4" t="inlineStr">
        <is>
          <t>TYPE</t>
        </is>
      </c>
      <c r="B54" s="4" t="inlineStr">
        <is>
          <t>Тип логического</t>
        </is>
      </c>
      <c r="C54" s="5">
        <f>TYPE(TRUE)</f>
        <v/>
      </c>
      <c r="D54" s="6" t="n">
        <v>4</v>
      </c>
      <c r="E54" s="4" t="inlineStr">
        <is>
          <t>4 = логическое</t>
        </is>
      </c>
    </row>
    <row r="55">
      <c r="A55" s="4" t="inlineStr">
        <is>
          <t>TYPE</t>
        </is>
      </c>
      <c r="B55" s="4" t="inlineStr">
        <is>
          <t>Тип ошибки</t>
        </is>
      </c>
      <c r="C55" s="5">
        <f>TYPE(1/0)</f>
        <v/>
      </c>
      <c r="D55" s="6" t="n">
        <v>16</v>
      </c>
      <c r="E55" s="4" t="inlineStr">
        <is>
          <t>16 = ошибка</t>
        </is>
      </c>
    </row>
    <row r="56">
      <c r="A56" s="4" t="inlineStr">
        <is>
          <t>CELL</t>
        </is>
      </c>
      <c r="B56" s="4" t="inlineStr">
        <is>
          <t>Информация о ячейке</t>
        </is>
      </c>
      <c r="C56" s="5">
        <f>CELL("address",A101)</f>
        <v/>
      </c>
      <c r="D56" s="6" t="inlineStr">
        <is>
          <t>$A$101</t>
        </is>
      </c>
      <c r="E56" s="4" t="inlineStr">
        <is>
          <t>Адрес ячейки</t>
        </is>
      </c>
    </row>
    <row r="57">
      <c r="A57" s="4" t="inlineStr">
        <is>
          <t>CELL</t>
        </is>
      </c>
      <c r="B57" s="4" t="inlineStr">
        <is>
          <t>Формат ячейки</t>
        </is>
      </c>
      <c r="C57" s="5">
        <f>CELL("format",A101)</f>
        <v/>
      </c>
      <c r="D57" s="6" t="inlineStr">
        <is>
          <t>G</t>
        </is>
      </c>
      <c r="E57" s="4" t="inlineStr">
        <is>
          <t>G = общий формат</t>
        </is>
      </c>
    </row>
    <row r="58">
      <c r="A58" s="4" t="inlineStr">
        <is>
          <t>CELL</t>
        </is>
      </c>
      <c r="B58" s="4" t="inlineStr">
        <is>
          <t>Имя файла</t>
        </is>
      </c>
      <c r="C58" s="5">
        <f>CELL("filename",A101)</f>
        <v/>
      </c>
      <c r="D58" s="6" t="inlineStr">
        <is>
          <t>Путь к файлу</t>
        </is>
      </c>
      <c r="E58" s="4" t="inlineStr">
        <is>
          <t>Путь и имя файла</t>
        </is>
      </c>
    </row>
    <row r="59">
      <c r="A59" s="4" t="inlineStr">
        <is>
          <t>INFO</t>
        </is>
      </c>
      <c r="B59" s="4" t="inlineStr">
        <is>
          <t>Информация о системе</t>
        </is>
      </c>
      <c r="C59" s="5">
        <f>INFO("system")</f>
        <v/>
      </c>
      <c r="D59" s="6" t="inlineStr">
        <is>
          <t>pcdos</t>
        </is>
      </c>
      <c r="E59" s="4" t="inlineStr">
        <is>
          <t>Операционная система</t>
        </is>
      </c>
    </row>
    <row r="60">
      <c r="A60" s="4" t="inlineStr">
        <is>
          <t>INFO</t>
        </is>
      </c>
      <c r="B60" s="4" t="inlineStr">
        <is>
          <t>Версия Excel</t>
        </is>
      </c>
      <c r="C60" s="5">
        <f>INFO("release")</f>
        <v/>
      </c>
      <c r="D60" s="6" t="inlineStr">
        <is>
          <t>16.0</t>
        </is>
      </c>
      <c r="E60" s="4" t="inlineStr">
        <is>
          <t>Версия Excel</t>
        </is>
      </c>
    </row>
    <row r="61">
      <c r="A61" s="4" t="inlineStr">
        <is>
          <t>INFO</t>
        </is>
      </c>
      <c r="B61" s="4" t="inlineStr">
        <is>
          <t>Количество процессоров</t>
        </is>
      </c>
      <c r="C61" s="5">
        <f>INFO("numfile")</f>
        <v/>
      </c>
      <c r="D61" s="6" t="n">
        <v>1</v>
      </c>
      <c r="E61" s="4" t="inlineStr">
        <is>
          <t>Количество активных книг</t>
        </is>
      </c>
    </row>
    <row r="100">
      <c r="A100" s="8" t="inlineStr">
        <is>
          <t>Фамилия</t>
        </is>
      </c>
      <c r="B100" s="8" t="inlineStr">
        <is>
          <t>Имя</t>
        </is>
      </c>
      <c r="C100" s="8" t="inlineStr">
        <is>
          <t>Зарплата</t>
        </is>
      </c>
      <c r="D100" s="8" t="inlineStr">
        <is>
          <t>Отдел</t>
        </is>
      </c>
      <c r="F100" s="2" t="n">
        <v>1</v>
      </c>
      <c r="G100" s="2" t="n">
        <v>2</v>
      </c>
      <c r="H100" s="2" t="n">
        <v>3</v>
      </c>
    </row>
    <row r="101">
      <c r="A101" s="2" t="inlineStr">
        <is>
          <t>Иванов</t>
        </is>
      </c>
      <c r="B101" s="2" t="inlineStr">
        <is>
          <t>Иван</t>
        </is>
      </c>
      <c r="C101" s="2" t="n">
        <v>50000</v>
      </c>
      <c r="D101" s="2" t="inlineStr">
        <is>
          <t>IT</t>
        </is>
      </c>
      <c r="F101" s="2" t="n">
        <v>4</v>
      </c>
      <c r="G101" s="2" t="n">
        <v>5</v>
      </c>
      <c r="H101" s="2" t="n">
        <v>6</v>
      </c>
    </row>
    <row r="102">
      <c r="A102" s="2" t="inlineStr">
        <is>
          <t>Петров</t>
        </is>
      </c>
      <c r="B102" s="2" t="inlineStr">
        <is>
          <t>Пётр</t>
        </is>
      </c>
      <c r="C102" s="2" t="n">
        <v>60000</v>
      </c>
      <c r="D102" s="2" t="inlineStr">
        <is>
          <t>Бухгалтерия</t>
        </is>
      </c>
      <c r="F102" s="2" t="n">
        <v>7</v>
      </c>
      <c r="G102" s="2" t="n">
        <v>8</v>
      </c>
      <c r="H102" s="2" t="n">
        <v>9</v>
      </c>
    </row>
    <row r="103">
      <c r="A103" s="2" t="inlineStr">
        <is>
          <t>Сидоров</t>
        </is>
      </c>
      <c r="B103" s="2" t="inlineStr">
        <is>
          <t>Сидор</t>
        </is>
      </c>
      <c r="C103" s="2" t="n">
        <v>55000</v>
      </c>
      <c r="D103" s="2" t="inlineStr">
        <is>
          <t>HR</t>
        </is>
      </c>
    </row>
    <row r="104">
      <c r="A104" s="2" t="inlineStr">
        <is>
          <t>Кузнецов</t>
        </is>
      </c>
      <c r="B104" s="2" t="inlineStr">
        <is>
          <t>Алексей</t>
        </is>
      </c>
      <c r="C104" s="2" t="n">
        <v>70000</v>
      </c>
      <c r="D104" s="2" t="inlineStr">
        <is>
          <t>IT</t>
        </is>
      </c>
    </row>
    <row r="105">
      <c r="A105" s="2" t="inlineStr">
        <is>
          <t>Смирнов</t>
        </is>
      </c>
      <c r="B105" s="2" t="inlineStr">
        <is>
          <t>Дмитрий</t>
        </is>
      </c>
      <c r="C105" s="2" t="n">
        <v>45000</v>
      </c>
      <c r="D105" s="2" t="inlineStr">
        <is>
          <t>Продажи</t>
        </is>
      </c>
    </row>
    <row r="106">
      <c r="A106" s="2" t="inlineStr">
        <is>
          <t>Попов</t>
        </is>
      </c>
      <c r="B106" s="2" t="inlineStr">
        <is>
          <t>Андрей</t>
        </is>
      </c>
      <c r="C106" s="2" t="n">
        <v>65000</v>
      </c>
      <c r="D106" s="2" t="inlineStr">
        <is>
          <t>HR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52" customWidth="1" min="3" max="3"/>
    <col width="22" customWidth="1" min="4" max="4"/>
    <col width="45" customWidth="1" min="5" max="5"/>
  </cols>
  <sheetData>
    <row r="1">
      <c r="A1" s="1" t="inlineStr">
        <is>
          <t>ФИНАНСОВЫЕ ФУНКЦИИ</t>
        </is>
      </c>
      <c r="B1" s="2" t="n"/>
      <c r="C1" s="2" t="n"/>
      <c r="D1" s="2" t="n"/>
      <c r="E1" s="2" t="n"/>
    </row>
    <row r="2">
      <c r="A2" s="3" t="inlineStr">
        <is>
          <t>Функция</t>
        </is>
      </c>
      <c r="B2" s="3" t="inlineStr">
        <is>
          <t>Описание</t>
        </is>
      </c>
      <c r="C2" s="3" t="inlineStr">
        <is>
          <t>Формула</t>
        </is>
      </c>
      <c r="D2" s="3" t="inlineStr">
        <is>
          <t>Результат</t>
        </is>
      </c>
      <c r="E2" s="3" t="inlineStr">
        <is>
          <t>Примечания</t>
        </is>
      </c>
    </row>
    <row r="3">
      <c r="A3" s="4" t="inlineStr">
        <is>
          <t>PMT</t>
        </is>
      </c>
      <c r="B3" s="4" t="inlineStr">
        <is>
          <t>Платёж по кредиту</t>
        </is>
      </c>
      <c r="C3" s="5">
        <f>PMT(10%%/12,360,1000000)</f>
        <v/>
      </c>
      <c r="D3" s="6" t="n">
        <v>-8775.719999999999</v>
      </c>
      <c r="E3" s="4" t="inlineStr">
        <is>
          <t>1 млн, 10%% год, 30 лет</t>
        </is>
      </c>
    </row>
    <row r="4">
      <c r="A4" s="4" t="inlineStr">
        <is>
          <t>PMT</t>
        </is>
      </c>
      <c r="B4" s="4" t="inlineStr">
        <is>
          <t>Платёж в начале периода</t>
        </is>
      </c>
      <c r="C4" s="5">
        <f>PMT(10%%/12,360,1000000,,1)</f>
        <v/>
      </c>
      <c r="D4" s="6" t="n">
        <v>-8703.059999999999</v>
      </c>
      <c r="E4" s="4" t="inlineStr">
        <is>
          <t>Тип 1 = в начале</t>
        </is>
      </c>
    </row>
    <row r="5">
      <c r="A5" s="4" t="inlineStr">
        <is>
          <t>PPMT</t>
        </is>
      </c>
      <c r="B5" s="4" t="inlineStr">
        <is>
          <t>Платёж основного долга</t>
        </is>
      </c>
      <c r="C5" s="5">
        <f>PPMT(10%%/12,1,360,1000000)</f>
        <v/>
      </c>
      <c r="D5" s="6" t="n">
        <v>-1442.38</v>
      </c>
      <c r="E5" s="4" t="inlineStr">
        <is>
          <t>Долг за 1-й месяц</t>
        </is>
      </c>
    </row>
    <row r="6">
      <c r="A6" s="4" t="inlineStr">
        <is>
          <t>PPMT</t>
        </is>
      </c>
      <c r="B6" s="4" t="inlineStr">
        <is>
          <t>Долг за 12-й месяц</t>
        </is>
      </c>
      <c r="C6" s="5">
        <f>PPMT(10%%/12,12,360,1000000)</f>
        <v/>
      </c>
      <c r="D6" s="6" t="n">
        <v>-1594.46</v>
      </c>
      <c r="E6" s="4" t="inlineStr">
        <is>
          <t>Долг за 12-й месяц</t>
        </is>
      </c>
    </row>
    <row r="7">
      <c r="A7" s="4" t="inlineStr">
        <is>
          <t>IPMT</t>
        </is>
      </c>
      <c r="B7" s="4" t="inlineStr">
        <is>
          <t>Платёж процентов</t>
        </is>
      </c>
      <c r="C7" s="5">
        <f>IPMT(10%%/12,1,360,1000000)</f>
        <v/>
      </c>
      <c r="D7" s="6" t="n">
        <v>-8333.33</v>
      </c>
      <c r="E7" s="4" t="inlineStr">
        <is>
          <t>Проценты за 1-й месяц</t>
        </is>
      </c>
    </row>
    <row r="8">
      <c r="A8" s="4" t="inlineStr">
        <is>
          <t>IPMT</t>
        </is>
      </c>
      <c r="B8" s="4" t="inlineStr">
        <is>
          <t>Проценты за 12-й месяц</t>
        </is>
      </c>
      <c r="C8" s="5">
        <f>IPMT(10%%/12,12,360,1000000)</f>
        <v/>
      </c>
      <c r="D8" s="6" t="n">
        <v>-8181.25</v>
      </c>
      <c r="E8" s="4" t="inlineStr">
        <is>
          <t>Проценты за 12-й месяц</t>
        </is>
      </c>
    </row>
    <row r="9">
      <c r="A9" s="4" t="inlineStr">
        <is>
          <t>CUMIPMT</t>
        </is>
      </c>
      <c r="B9" s="4" t="inlineStr">
        <is>
          <t>Накопленные проценты (год)</t>
        </is>
      </c>
      <c r="C9" s="5">
        <f>CUMIPMT(10%%/12,360,1000000,1,12,0)</f>
        <v/>
      </c>
      <c r="D9" s="6" t="n">
        <v>-99913.64999999999</v>
      </c>
      <c r="E9" s="4" t="inlineStr">
        <is>
          <t>Проценты за 1-й год</t>
        </is>
      </c>
    </row>
    <row r="10">
      <c r="A10" s="4" t="inlineStr">
        <is>
          <t>CUMPRINC</t>
        </is>
      </c>
      <c r="B10" s="4" t="inlineStr">
        <is>
          <t>Накопленный долг (год)</t>
        </is>
      </c>
      <c r="C10" s="5">
        <f>CUMPRINC(10%%/12,360,1000000,1,12,0)</f>
        <v/>
      </c>
      <c r="D10" s="6" t="n">
        <v>-5354.99</v>
      </c>
      <c r="E10" s="4" t="inlineStr">
        <is>
          <t>Погашение за 1-й год</t>
        </is>
      </c>
    </row>
    <row r="11">
      <c r="A11" s="4" t="inlineStr">
        <is>
          <t>ISPMT</t>
        </is>
      </c>
      <c r="B11" s="4" t="inlineStr">
        <is>
          <t>Проценты за период (простые)</t>
        </is>
      </c>
      <c r="C11" s="5">
        <f>ISPMT(10%%/12,1,360,1000000)</f>
        <v/>
      </c>
      <c r="D11" s="6" t="n">
        <v>-8333.33</v>
      </c>
      <c r="E11" s="4" t="inlineStr">
        <is>
          <t>Простые проценты</t>
        </is>
      </c>
    </row>
    <row r="12">
      <c r="A12" s="4" t="inlineStr">
        <is>
          <t>FV</t>
        </is>
      </c>
      <c r="B12" s="4" t="inlineStr">
        <is>
          <t>Будущая стоимость</t>
        </is>
      </c>
      <c r="C12" s="5">
        <f>FV(8%%/12,120,-10000,0)</f>
        <v/>
      </c>
      <c r="D12" s="6" t="n">
        <v>1829460.27</v>
      </c>
      <c r="E12" s="4" t="inlineStr">
        <is>
          <t>Накопления через 10 лет</t>
        </is>
      </c>
    </row>
    <row r="13">
      <c r="A13" s="4" t="inlineStr">
        <is>
          <t>FV</t>
        </is>
      </c>
      <c r="B13" s="4" t="inlineStr">
        <is>
          <t>С начальным взносом</t>
        </is>
      </c>
      <c r="C13" s="5">
        <f>FV(8%%/12,120,-10000,-50000)</f>
        <v/>
      </c>
      <c r="D13" s="6" t="n">
        <v>2928798.97</v>
      </c>
      <c r="E13" s="4" t="inlineStr">
        <is>
          <t>С начальным 50 000</t>
        </is>
      </c>
    </row>
    <row r="14">
      <c r="A14" s="4" t="inlineStr">
        <is>
          <t>FV</t>
        </is>
      </c>
      <c r="B14" s="4" t="inlineStr">
        <is>
          <t>В начале периода</t>
        </is>
      </c>
      <c r="C14" s="5">
        <f>FV(8%%/12,120,-10000,0,1)</f>
        <v/>
      </c>
      <c r="D14" s="6" t="n">
        <v>1841687.75</v>
      </c>
      <c r="E14" s="4" t="inlineStr">
        <is>
          <t>Тип 1 = в начале</t>
        </is>
      </c>
    </row>
    <row r="15">
      <c r="A15" s="4" t="inlineStr">
        <is>
          <t>PV</t>
        </is>
      </c>
      <c r="B15" s="4" t="inlineStr">
        <is>
          <t>Приведённая стоимость</t>
        </is>
      </c>
      <c r="C15" s="5">
        <f>PV(8%%/12,120,-10000)</f>
        <v/>
      </c>
      <c r="D15" s="6" t="n">
        <v>824214.65</v>
      </c>
      <c r="E15" s="4" t="inlineStr">
        <is>
          <t>Текущая стоимость аннуитета</t>
        </is>
      </c>
    </row>
    <row r="16">
      <c r="A16" s="4" t="inlineStr">
        <is>
          <t>PV</t>
        </is>
      </c>
      <c r="B16" s="4" t="inlineStr">
        <is>
          <t>С будущей суммой</t>
        </is>
      </c>
      <c r="C16" s="5">
        <f>PV(8%%/12,120,-10000,-100000)</f>
        <v/>
      </c>
      <c r="D16" s="6" t="n">
        <v>870415.3199999999</v>
      </c>
      <c r="E16" s="4" t="inlineStr">
        <is>
          <t>С будущей суммой 100 000</t>
        </is>
      </c>
    </row>
    <row r="17">
      <c r="A17" s="4" t="inlineStr">
        <is>
          <t>NPV</t>
        </is>
      </c>
      <c r="B17" s="4" t="inlineStr">
        <is>
          <t>Чистая приведённая стоимость</t>
        </is>
      </c>
      <c r="C17" s="5">
        <f>NPV(10%,B101:B105)</f>
        <v/>
      </c>
      <c r="D17" s="6" t="n">
        <v>2892.37</v>
      </c>
      <c r="E17" s="4" t="inlineStr">
        <is>
          <t>Оценка инвестиций</t>
        </is>
      </c>
    </row>
    <row r="18">
      <c r="A18" s="4" t="inlineStr">
        <is>
          <t>NPV</t>
        </is>
      </c>
      <c r="B18" s="4" t="inlineStr">
        <is>
          <t>NPV с начальной инвестицией</t>
        </is>
      </c>
      <c r="C18" s="5">
        <f>NPV(10%,B102:B105)+B101</f>
        <v/>
      </c>
      <c r="D18" s="6" t="n">
        <v>2892.37</v>
      </c>
      <c r="E18" s="4" t="inlineStr">
        <is>
          <t>То же с начальной</t>
        </is>
      </c>
    </row>
    <row r="19">
      <c r="A19" s="4" t="inlineStr">
        <is>
          <t>XNPV</t>
        </is>
      </c>
      <c r="B19" s="4" t="inlineStr">
        <is>
          <t>NPV с датами</t>
        </is>
      </c>
      <c r="C19" s="5">
        <f>XNPV(10%,B101:B105,A101:A105)</f>
        <v/>
      </c>
      <c r="D19" s="6" t="n">
        <v>2892.37</v>
      </c>
      <c r="E19" s="4" t="inlineStr">
        <is>
          <t>Нерегулярные платежи</t>
        </is>
      </c>
    </row>
    <row r="20">
      <c r="A20" s="4" t="inlineStr">
        <is>
          <t>IRR</t>
        </is>
      </c>
      <c r="B20" s="4" t="inlineStr">
        <is>
          <t>Внутренняя норма доходности</t>
        </is>
      </c>
      <c r="C20" s="5">
        <f>IRR(B101:B105)</f>
        <v/>
      </c>
      <c r="D20" s="6" t="n">
        <v>0.175</v>
      </c>
      <c r="E20" s="4" t="inlineStr">
        <is>
          <t>~17,5%% доходность</t>
        </is>
      </c>
    </row>
    <row r="21">
      <c r="A21" s="4" t="inlineStr">
        <is>
          <t>IRR</t>
        </is>
      </c>
      <c r="B21" s="4" t="inlineStr">
        <is>
          <t>IRR с предположением</t>
        </is>
      </c>
      <c r="C21" s="5">
        <f>IRR(B101:B105,10%)</f>
        <v/>
      </c>
      <c r="D21" s="6" t="n">
        <v>0.175</v>
      </c>
      <c r="E21" s="4" t="inlineStr">
        <is>
          <t>С начальным предположением</t>
        </is>
      </c>
    </row>
    <row r="22">
      <c r="A22" s="4" t="inlineStr">
        <is>
          <t>MIRR</t>
        </is>
      </c>
      <c r="B22" s="4" t="inlineStr">
        <is>
          <t>Модифицированный IRR</t>
        </is>
      </c>
      <c r="C22" s="5">
        <f>MIRR(B101:B105,10%,8%)</f>
        <v/>
      </c>
      <c r="D22" s="6" t="n">
        <v>0.168</v>
      </c>
      <c r="E22" s="4" t="inlineStr">
        <is>
          <t>С разными ставками</t>
        </is>
      </c>
    </row>
    <row r="23">
      <c r="A23" s="4" t="inlineStr">
        <is>
          <t>XIRR</t>
        </is>
      </c>
      <c r="B23" s="4" t="inlineStr">
        <is>
          <t>IRR с датами</t>
        </is>
      </c>
      <c r="C23" s="5">
        <f>XIRR(B101:B105,A101:A105)</f>
        <v/>
      </c>
      <c r="D23" s="6" t="n">
        <v>0.175</v>
      </c>
      <c r="E23" s="4" t="inlineStr">
        <is>
          <t>Нерегулярные даты</t>
        </is>
      </c>
    </row>
    <row r="24">
      <c r="A24" s="4" t="inlineStr">
        <is>
          <t>RATE</t>
        </is>
      </c>
      <c r="B24" s="4" t="inlineStr">
        <is>
          <t>Процентная ставка</t>
        </is>
      </c>
      <c r="C24" s="5">
        <f>RATE(360,-8775.72,1000000)</f>
        <v/>
      </c>
      <c r="D24" s="6" t="n">
        <v>0.0083</v>
      </c>
      <c r="E24" s="4" t="inlineStr">
        <is>
          <t>~10%%/год</t>
        </is>
      </c>
    </row>
    <row r="25">
      <c r="A25" s="4" t="inlineStr">
        <is>
          <t>RATE</t>
        </is>
      </c>
      <c r="B25" s="4" t="inlineStr">
        <is>
          <t>Ставка с будущей суммой</t>
        </is>
      </c>
      <c r="C25" s="5">
        <f>RATE(120,-10000,0,1829460.27)</f>
        <v/>
      </c>
      <c r="D25" s="6" t="n">
        <v>0.0067</v>
      </c>
      <c r="E25" s="4" t="inlineStr">
        <is>
          <t>~8%%/год</t>
        </is>
      </c>
    </row>
    <row r="26">
      <c r="A26" s="4" t="inlineStr">
        <is>
          <t>NPER</t>
        </is>
      </c>
      <c r="B26" s="4" t="inlineStr">
        <is>
          <t>Количество периодов</t>
        </is>
      </c>
      <c r="C26" s="5">
        <f>NPER(10%%/12,-8775.72,1000000)</f>
        <v/>
      </c>
      <c r="D26" s="6" t="n">
        <v>360</v>
      </c>
      <c r="E26" s="4" t="inlineStr">
        <is>
          <t>Срок в месяцах</t>
        </is>
      </c>
    </row>
    <row r="27">
      <c r="A27" s="4" t="inlineStr">
        <is>
          <t>NPER</t>
        </is>
      </c>
      <c r="B27" s="4" t="inlineStr">
        <is>
          <t>Периоды с будущей суммой</t>
        </is>
      </c>
      <c r="C27" s="5">
        <f>NPER(8%%/12,-10000,0,1829460.27)</f>
        <v/>
      </c>
      <c r="D27" s="6" t="n">
        <v>120</v>
      </c>
      <c r="E27" s="4" t="inlineStr">
        <is>
          <t>120 месяцев</t>
        </is>
      </c>
    </row>
    <row r="28">
      <c r="A28" s="4" t="inlineStr">
        <is>
          <t>DB</t>
        </is>
      </c>
      <c r="B28" s="4" t="inlineStr">
        <is>
          <t>Амортизация (убыв. баланс)</t>
        </is>
      </c>
      <c r="C28" s="5">
        <f>DB(100000,10000,5,1)</f>
        <v/>
      </c>
      <c r="D28" s="6" t="n">
        <v>36900</v>
      </c>
      <c r="E28" s="4" t="inlineStr">
        <is>
          <t>1-й год</t>
        </is>
      </c>
    </row>
    <row r="29">
      <c r="A29" s="4" t="inlineStr">
        <is>
          <t>DB</t>
        </is>
      </c>
      <c r="B29" s="4" t="inlineStr">
        <is>
          <t>Амортизация 2-й год</t>
        </is>
      </c>
      <c r="C29" s="5">
        <f>DB(100000,10000,5,2)</f>
        <v/>
      </c>
      <c r="D29" s="6" t="n">
        <v>23814.6</v>
      </c>
      <c r="E29" s="4" t="inlineStr">
        <is>
          <t>2-й год</t>
        </is>
      </c>
    </row>
    <row r="30">
      <c r="A30" s="4" t="inlineStr">
        <is>
          <t>DDB</t>
        </is>
      </c>
      <c r="B30" s="4" t="inlineStr">
        <is>
          <t>Удвоенная амортизация</t>
        </is>
      </c>
      <c r="C30" s="5">
        <f>DDB(100000,10000,5,1)</f>
        <v/>
      </c>
      <c r="D30" s="6" t="n">
        <v>40000</v>
      </c>
      <c r="E30" s="4" t="inlineStr">
        <is>
          <t>1-й год</t>
        </is>
      </c>
    </row>
    <row r="31">
      <c r="A31" s="4" t="inlineStr">
        <is>
          <t>DDB</t>
        </is>
      </c>
      <c r="B31" s="4" t="inlineStr">
        <is>
          <t>DDB 2-й год</t>
        </is>
      </c>
      <c r="C31" s="5">
        <f>DDB(100000,10000,5,2)</f>
        <v/>
      </c>
      <c r="D31" s="6" t="n">
        <v>24000</v>
      </c>
      <c r="E31" s="4" t="inlineStr">
        <is>
          <t>2-й год</t>
        </is>
      </c>
    </row>
    <row r="32">
      <c r="A32" s="4" t="inlineStr">
        <is>
          <t>SLN</t>
        </is>
      </c>
      <c r="B32" s="4" t="inlineStr">
        <is>
          <t>Линейная амортизация</t>
        </is>
      </c>
      <c r="C32" s="5">
        <f>SLN(100000,10000,5)</f>
        <v/>
      </c>
      <c r="D32" s="6" t="n">
        <v>18000</v>
      </c>
      <c r="E32" s="4" t="inlineStr">
        <is>
          <t>Равномерно</t>
        </is>
      </c>
    </row>
    <row r="33">
      <c r="A33" s="4" t="inlineStr">
        <is>
          <t>SYD</t>
        </is>
      </c>
      <c r="B33" s="4" t="inlineStr">
        <is>
          <t>Сумма цифр лет</t>
        </is>
      </c>
      <c r="C33" s="5">
        <f>SYD(100000,10000,5,1)</f>
        <v/>
      </c>
      <c r="D33" s="6" t="n">
        <v>30000</v>
      </c>
      <c r="E33" s="4" t="inlineStr">
        <is>
          <t>1-й год</t>
        </is>
      </c>
    </row>
    <row r="34">
      <c r="A34" s="4" t="inlineStr">
        <is>
          <t>SYD</t>
        </is>
      </c>
      <c r="B34" s="4" t="inlineStr">
        <is>
          <t>SYD 2-й год</t>
        </is>
      </c>
      <c r="C34" s="5">
        <f>SYD(100000,10000,5,2)</f>
        <v/>
      </c>
      <c r="D34" s="6" t="n">
        <v>24000</v>
      </c>
      <c r="E34" s="4" t="inlineStr">
        <is>
          <t>2-й год</t>
        </is>
      </c>
    </row>
    <row r="35">
      <c r="A35" s="4" t="inlineStr">
        <is>
          <t>VDB</t>
        </is>
      </c>
      <c r="B35" s="4" t="inlineStr">
        <is>
          <t>Переменная амортизация</t>
        </is>
      </c>
      <c r="C35" s="5">
        <f>VDB(100000,10000,5,1,2)</f>
        <v/>
      </c>
      <c r="D35" s="6" t="n">
        <v>40000</v>
      </c>
      <c r="E35" s="4" t="inlineStr">
        <is>
          <t>За 1-2 годы</t>
        </is>
      </c>
    </row>
    <row r="36">
      <c r="A36" s="4" t="inlineStr">
        <is>
          <t>VDB</t>
        </is>
      </c>
      <c r="B36" s="4" t="inlineStr">
        <is>
          <t>VDB с переключением</t>
        </is>
      </c>
      <c r="C36" s="5">
        <f>VDB(100000,10000,5,3,5,TRUE)</f>
        <v/>
      </c>
      <c r="D36" s="6" t="n">
        <v>16800</v>
      </c>
      <c r="E36" s="4" t="inlineStr">
        <is>
          <t>С переключением на линейную</t>
        </is>
      </c>
    </row>
    <row r="37">
      <c r="A37" s="4" t="inlineStr">
        <is>
          <t>EFFECT</t>
        </is>
      </c>
      <c r="B37" s="4" t="inlineStr">
        <is>
          <t>Эффективная ставка</t>
        </is>
      </c>
      <c r="C37" s="5">
        <f>EFFECT(10%,4)</f>
        <v/>
      </c>
      <c r="D37" s="6" t="n">
        <v>0.1038</v>
      </c>
      <c r="E37" s="4" t="inlineStr">
        <is>
          <t>~10,38%% с капитализацией</t>
        </is>
      </c>
    </row>
    <row r="38">
      <c r="A38" s="4" t="inlineStr">
        <is>
          <t>NOMINAL</t>
        </is>
      </c>
      <c r="B38" s="4" t="inlineStr">
        <is>
          <t>Номинальная ставка</t>
        </is>
      </c>
      <c r="C38" s="5">
        <f>NOMINAL(10.38%,4)</f>
        <v/>
      </c>
      <c r="D38" s="6" t="n">
        <v>0.1</v>
      </c>
      <c r="E38" s="4" t="inlineStr">
        <is>
          <t>Обратно к EFFECT</t>
        </is>
      </c>
    </row>
    <row r="39">
      <c r="A39" s="4" t="inlineStr">
        <is>
          <t>ACCRINT</t>
        </is>
      </c>
      <c r="B39" s="4" t="inlineStr">
        <is>
          <t>Накопленные проценты (облиг.)</t>
        </is>
      </c>
      <c r="C39" s="5">
        <f>ACCRINT(DATE(2024,1,1),DATE(2024,7,1),DATE(2024,6,15),10%,1000,2)</f>
        <v/>
      </c>
      <c r="D39" s="6" t="n">
        <v>48.61</v>
      </c>
      <c r="E39" s="4" t="inlineStr">
        <is>
          <t>Облигационные проценты</t>
        </is>
      </c>
    </row>
    <row r="40">
      <c r="A40" s="4" t="inlineStr">
        <is>
          <t>ACCRINTM</t>
        </is>
      </c>
      <c r="B40" s="4" t="inlineStr">
        <is>
          <t>Накопленные проценты (по погашению)</t>
        </is>
      </c>
      <c r="C40" s="5">
        <f>ACCRINTM(DATE(2024,1,1),DATE(2024,6,15),10%,1000)</f>
        <v/>
      </c>
      <c r="D40" s="6" t="n">
        <v>44.44</v>
      </c>
      <c r="E40" s="4" t="inlineStr">
        <is>
          <t>По погашению</t>
        </is>
      </c>
    </row>
    <row r="41">
      <c r="A41" s="4" t="inlineStr">
        <is>
          <t>PRICE</t>
        </is>
      </c>
      <c r="B41" s="4" t="inlineStr">
        <is>
          <t>Цена облигации</t>
        </is>
      </c>
      <c r="C41" s="5">
        <f>PRICE(DATE(2024,1,1),DATE(2034,1,1),8%,10%,100,2)</f>
        <v/>
      </c>
      <c r="D41" s="6" t="n">
        <v>87.54000000000001</v>
      </c>
      <c r="E41" s="4" t="inlineStr">
        <is>
          <t>Цена по доходности</t>
        </is>
      </c>
    </row>
    <row r="42">
      <c r="A42" s="4" t="inlineStr">
        <is>
          <t>PRICEDISC</t>
        </is>
      </c>
      <c r="B42" s="4" t="inlineStr">
        <is>
          <t>Цена дисконтной облигации</t>
        </is>
      </c>
      <c r="C42" s="5">
        <f>PRICEDISC(DATE(2024,1,1),DATE(2024,12,31),10%,100)</f>
        <v/>
      </c>
      <c r="D42" s="6" t="n">
        <v>90</v>
      </c>
      <c r="E42" s="4" t="inlineStr">
        <is>
          <t>Дисконтная облигация</t>
        </is>
      </c>
    </row>
    <row r="43">
      <c r="A43" s="4" t="inlineStr">
        <is>
          <t>PRICEMAT</t>
        </is>
      </c>
      <c r="B43" s="4" t="inlineStr">
        <is>
          <t>Цена облигации по погашению</t>
        </is>
      </c>
      <c r="C43" s="5">
        <f>PRICEMAT(DATE(2024,1,1),DATE(2024,12,31),DATE(2023,6,1),10%,8%)</f>
        <v/>
      </c>
      <c r="D43" s="6" t="n">
        <v>101.96</v>
      </c>
      <c r="E43" s="4" t="inlineStr">
        <is>
          <t>По погашению</t>
        </is>
      </c>
    </row>
    <row r="44">
      <c r="A44" s="4" t="inlineStr">
        <is>
          <t>YIELD</t>
        </is>
      </c>
      <c r="B44" s="4" t="inlineStr">
        <is>
          <t>Доходность облигации</t>
        </is>
      </c>
      <c r="C44" s="5">
        <f>YIELD(DATE(2024,1,1),DATE(2034,1,1),8%,87.54,100,2)</f>
        <v/>
      </c>
      <c r="D44" s="6" t="n">
        <v>0.1</v>
      </c>
      <c r="E44" s="4" t="inlineStr">
        <is>
          <t>~10%%</t>
        </is>
      </c>
    </row>
    <row r="45">
      <c r="A45" s="4" t="inlineStr">
        <is>
          <t>YIELDDISC</t>
        </is>
      </c>
      <c r="B45" s="4" t="inlineStr">
        <is>
          <t>Доходность дисконтной</t>
        </is>
      </c>
      <c r="C45" s="5">
        <f>YIELDDISC(DATE(2024,1,1),DATE(2024,12,31),90,100)</f>
        <v/>
      </c>
      <c r="D45" s="6" t="n">
        <v>0.111</v>
      </c>
      <c r="E45" s="4" t="inlineStr">
        <is>
          <t>~11,1%%</t>
        </is>
      </c>
    </row>
    <row r="46">
      <c r="A46" s="4" t="inlineStr">
        <is>
          <t>YIELDMAT</t>
        </is>
      </c>
      <c r="B46" s="4" t="inlineStr">
        <is>
          <t>Доходность по погашению</t>
        </is>
      </c>
      <c r="C46" s="5">
        <f>YIELDMAT(DATE(2024,1,1),DATE(2024,12,31),DATE(2023,6,1),101.96,8%)</f>
        <v/>
      </c>
      <c r="D46" s="6" t="n">
        <v>0.1</v>
      </c>
      <c r="E46" s="4" t="inlineStr">
        <is>
          <t>~10%%</t>
        </is>
      </c>
    </row>
    <row r="47">
      <c r="A47" s="4" t="inlineStr">
        <is>
          <t>DOLLARDE</t>
        </is>
      </c>
      <c r="B47" s="4" t="inlineStr">
        <is>
          <t>Дробь в десятичную</t>
        </is>
      </c>
      <c r="C47" s="5">
        <f>DOLLARDE(1.02,16)</f>
        <v/>
      </c>
      <c r="D47" s="6" t="n">
        <v>1.125</v>
      </c>
      <c r="E47" s="4" t="inlineStr">
        <is>
          <t>1.02 = 1 + 2/16</t>
        </is>
      </c>
    </row>
    <row r="48">
      <c r="A48" s="4" t="inlineStr">
        <is>
          <t>DOLLARFR</t>
        </is>
      </c>
      <c r="B48" s="4" t="inlineStr">
        <is>
          <t>Десятичная в дробь</t>
        </is>
      </c>
      <c r="C48" s="5">
        <f>DOLLARFR(1.125,16)</f>
        <v/>
      </c>
      <c r="D48" s="6" t="n">
        <v>1.02</v>
      </c>
      <c r="E48" s="4" t="inlineStr">
        <is>
          <t>Обратно к DOLLARDE</t>
        </is>
      </c>
    </row>
    <row r="49">
      <c r="A49" s="4" t="inlineStr">
        <is>
          <t>DURATION</t>
        </is>
      </c>
      <c r="B49" s="4" t="inlineStr">
        <is>
          <t>Дюрация Маколея</t>
        </is>
      </c>
      <c r="C49" s="5">
        <f>DURATION(DATE(2024,1,1),DATE(2034,1,1),8%,10%,2)</f>
        <v/>
      </c>
      <c r="D49" s="6" t="n">
        <v>6.76</v>
      </c>
      <c r="E49" s="4" t="inlineStr">
        <is>
          <t>Чувствительность к ставке</t>
        </is>
      </c>
    </row>
    <row r="50">
      <c r="A50" s="4" t="inlineStr">
        <is>
          <t>MDURATION</t>
        </is>
      </c>
      <c r="B50" s="4" t="inlineStr">
        <is>
          <t>Модифицированная дюрация</t>
        </is>
      </c>
      <c r="C50" s="5">
        <f>MDURATION(DATE(2024,1,1),DATE(2034,1,1),8%,10%,2)</f>
        <v/>
      </c>
      <c r="D50" s="6" t="n">
        <v>6.44</v>
      </c>
      <c r="E50" s="4" t="inlineStr">
        <is>
          <t>Модифицированная</t>
        </is>
      </c>
    </row>
    <row r="51">
      <c r="A51" s="4" t="inlineStr">
        <is>
          <t>COUPDAYBS</t>
        </is>
      </c>
      <c r="B51" s="4" t="inlineStr">
        <is>
          <t>Дней с начала купона</t>
        </is>
      </c>
      <c r="C51" s="5">
        <f>COUPDAYBS(DATE(2024,1,1),DATE(2034,1,1),2)</f>
        <v/>
      </c>
      <c r="D51" s="6" t="n">
        <v>0</v>
      </c>
      <c r="E51" s="4" t="inlineStr">
        <is>
          <t>С начала текущего купона</t>
        </is>
      </c>
    </row>
    <row r="52">
      <c r="A52" s="4" t="inlineStr">
        <is>
          <t>COUPDAYS</t>
        </is>
      </c>
      <c r="B52" s="4" t="inlineStr">
        <is>
          <t>Дней в купонном периоде</t>
        </is>
      </c>
      <c r="C52" s="5">
        <f>COUPDAYS(DATE(2024,1,1),DATE(2034,1,1),2)</f>
        <v/>
      </c>
      <c r="D52" s="6" t="n">
        <v>180</v>
      </c>
      <c r="E52" s="4" t="inlineStr">
        <is>
          <t>Дней в периоде</t>
        </is>
      </c>
    </row>
    <row r="53">
      <c r="A53" s="4" t="inlineStr">
        <is>
          <t>COUPDAYSNC</t>
        </is>
      </c>
      <c r="B53" s="4" t="inlineStr">
        <is>
          <t>Дней до следующего купона</t>
        </is>
      </c>
      <c r="C53" s="5">
        <f>COUPDAYSNC(DATE(2024,1,1),DATE(2034,1,1),2)</f>
        <v/>
      </c>
      <c r="D53" s="6" t="n">
        <v>180</v>
      </c>
      <c r="E53" s="4" t="inlineStr">
        <is>
          <t>До следующего купона</t>
        </is>
      </c>
    </row>
    <row r="54">
      <c r="A54" s="4" t="inlineStr">
        <is>
          <t>COUPNCD</t>
        </is>
      </c>
      <c r="B54" s="4" t="inlineStr">
        <is>
          <t>Дата следующего купона</t>
        </is>
      </c>
      <c r="C54" s="5">
        <f>COUPNCD(DATE(2024,1,1),DATE(2034,1,1),2)</f>
        <v/>
      </c>
      <c r="D54" s="10" t="n">
        <v>45474</v>
      </c>
      <c r="E54" s="4" t="inlineStr">
        <is>
          <t>Следующий купон</t>
        </is>
      </c>
    </row>
    <row r="55">
      <c r="A55" s="4" t="inlineStr">
        <is>
          <t>COUPNUM</t>
        </is>
      </c>
      <c r="B55" s="4" t="inlineStr">
        <is>
          <t>Количество купонов</t>
        </is>
      </c>
      <c r="C55" s="5">
        <f>COUPNUM(DATE(2024,1,1),DATE(2034,1,1),2)</f>
        <v/>
      </c>
      <c r="D55" s="6" t="n">
        <v>20</v>
      </c>
      <c r="E55" s="4" t="inlineStr">
        <is>
          <t>20 купонов</t>
        </is>
      </c>
    </row>
    <row r="56">
      <c r="A56" s="4" t="inlineStr">
        <is>
          <t>COUPPCD</t>
        </is>
      </c>
      <c r="B56" s="4" t="inlineStr">
        <is>
          <t>Дата предыдущего купона</t>
        </is>
      </c>
      <c r="C56" s="5">
        <f>COUPPCD(DATE(2024,1,1),DATE(2034,1,1),2)</f>
        <v/>
      </c>
      <c r="D56" s="10" t="n">
        <v>45292</v>
      </c>
      <c r="E56" s="4" t="inlineStr">
        <is>
          <t>Предыдущий купон</t>
        </is>
      </c>
    </row>
    <row r="57">
      <c r="A57" s="4" t="inlineStr">
        <is>
          <t>DISC</t>
        </is>
      </c>
      <c r="B57" s="4" t="inlineStr">
        <is>
          <t>Дисконтная ставка</t>
        </is>
      </c>
      <c r="C57" s="5">
        <f>DISC(DATE(2024,1,1),DATE(2024,12,31),90,100)</f>
        <v/>
      </c>
      <c r="D57" s="6" t="n">
        <v>0.1</v>
      </c>
      <c r="E57" s="4" t="inlineStr">
        <is>
          <t>~10%%</t>
        </is>
      </c>
    </row>
    <row r="58">
      <c r="A58" s="4" t="inlineStr">
        <is>
          <t>INTRATE</t>
        </is>
      </c>
      <c r="B58" s="4" t="inlineStr">
        <is>
          <t>Процентная ставка по инвестиции</t>
        </is>
      </c>
      <c r="C58" s="5">
        <f>INTRATE(DATE(2024,1,1),DATE(2024,12,31),90000,100000)</f>
        <v/>
      </c>
      <c r="D58" s="6" t="n">
        <v>0.111</v>
      </c>
      <c r="E58" s="4" t="inlineStr">
        <is>
          <t>~11,1%%</t>
        </is>
      </c>
    </row>
    <row r="59">
      <c r="A59" s="4" t="inlineStr">
        <is>
          <t>RECEIVED</t>
        </is>
      </c>
      <c r="B59" s="4" t="inlineStr">
        <is>
          <t>Сумма по погашению</t>
        </is>
      </c>
      <c r="C59" s="5">
        <f>RECEIVED(DATE(2024,1,1),DATE(2024,12,31),90000,10%)</f>
        <v/>
      </c>
      <c r="D59" s="6" t="n">
        <v>100000</v>
      </c>
      <c r="E59" s="4" t="inlineStr">
        <is>
          <t>Сумма к получению</t>
        </is>
      </c>
    </row>
    <row r="60">
      <c r="A60" s="4" t="inlineStr">
        <is>
          <t>TBILLEQ</t>
        </is>
      </c>
      <c r="B60" s="4" t="inlineStr">
        <is>
          <t>Эквивалентная ставка T-Bill</t>
        </is>
      </c>
      <c r="C60" s="5">
        <f>TBILLEQ(DATE(2024,1,1),DATE(2024,7,1),95)</f>
        <v/>
      </c>
      <c r="D60" s="6" t="n">
        <v>0.107</v>
      </c>
      <c r="E60" s="4" t="inlineStr">
        <is>
          <t>~10,7%%</t>
        </is>
      </c>
    </row>
    <row r="61">
      <c r="A61" s="4" t="inlineStr">
        <is>
          <t>TBILLPRICE</t>
        </is>
      </c>
      <c r="B61" s="4" t="inlineStr">
        <is>
          <t>Цена T-Bill</t>
        </is>
      </c>
      <c r="C61" s="5">
        <f>TBILLPRICE(DATE(2024,1,1),DATE(2024,7,1),10%)</f>
        <v/>
      </c>
      <c r="D61" s="6" t="n">
        <v>95</v>
      </c>
      <c r="E61" s="4" t="inlineStr">
        <is>
          <t>Цена казначейского векселя</t>
        </is>
      </c>
    </row>
    <row r="62">
      <c r="A62" s="4" t="inlineStr">
        <is>
          <t>TBILLYIELD</t>
        </is>
      </c>
      <c r="B62" s="4" t="inlineStr">
        <is>
          <t>Доходность T-Bill</t>
        </is>
      </c>
      <c r="C62" s="5">
        <f>TBILLYIELD(DATE(2024,1,1),DATE(2024,7,1),95)</f>
        <v/>
      </c>
      <c r="D62" s="6" t="n">
        <v>0.107</v>
      </c>
      <c r="E62" s="4" t="inlineStr">
        <is>
          <t>~10,7%%</t>
        </is>
      </c>
    </row>
    <row r="63">
      <c r="A63" s="4" t="inlineStr">
        <is>
          <t>ODDFPRICE</t>
        </is>
      </c>
      <c r="B63" s="4" t="inlineStr">
        <is>
          <t>Цена облигации с нестанд. первым периодом</t>
        </is>
      </c>
      <c r="C63" s="5">
        <f>ODDFPRICE(DATE(2024,1,1),DATE(2034,1,1),DATE(2023,6,1),DATE(2024,7,1),8%,10%,100,2)</f>
        <v/>
      </c>
      <c r="D63" s="6" t="n">
        <v>87.54000000000001</v>
      </c>
      <c r="E63" s="4" t="inlineStr">
        <is>
          <t>С нестандартным первым периодом</t>
        </is>
      </c>
    </row>
    <row r="64">
      <c r="A64" s="4" t="inlineStr">
        <is>
          <t>ODDFYIELD</t>
        </is>
      </c>
      <c r="B64" s="4" t="inlineStr">
        <is>
          <t>Доходность с нестанд. первым периодом</t>
        </is>
      </c>
      <c r="C64" s="5">
        <f>ODDFYIELD(DATE(2024,1,1),DATE(2034,1,1),DATE(2023,6,1),DATE(2024,7,1),8%,87.54,100,2)</f>
        <v/>
      </c>
      <c r="D64" s="6" t="n">
        <v>0.1</v>
      </c>
      <c r="E64" s="4" t="inlineStr">
        <is>
          <t>~10%%</t>
        </is>
      </c>
    </row>
    <row r="65">
      <c r="A65" s="4" t="inlineStr">
        <is>
          <t>ODDLPRICE</t>
        </is>
      </c>
      <c r="B65" s="4" t="inlineStr">
        <is>
          <t>Цена с нестанд. последним периодом</t>
        </is>
      </c>
      <c r="C65" s="5">
        <f>ODDLPRICE(DATE(2024,1,1),DATE(2024,12,31),DATE(2024,7,1),8%,10%,100,2)</f>
        <v/>
      </c>
      <c r="D65" s="6" t="n">
        <v>95.65000000000001</v>
      </c>
      <c r="E65" s="4" t="inlineStr">
        <is>
          <t>С нестандартным последним</t>
        </is>
      </c>
    </row>
    <row r="66">
      <c r="A66" s="4" t="inlineStr">
        <is>
          <t>ODDLYIELD</t>
        </is>
      </c>
      <c r="B66" s="4" t="inlineStr">
        <is>
          <t>Доходность с нестанд. последним</t>
        </is>
      </c>
      <c r="C66" s="5">
        <f>ODDLYIELD(DATE(2024,1,1),DATE(2024,12,31),DATE(2024,7,1),8%,95.65,100,2)</f>
        <v/>
      </c>
      <c r="D66" s="6" t="n">
        <v>0.1</v>
      </c>
      <c r="E66" s="4" t="inlineStr">
        <is>
          <t>~10%%</t>
        </is>
      </c>
    </row>
    <row r="67">
      <c r="A67" s="4" t="inlineStr">
        <is>
          <t>AMORDEGRC</t>
        </is>
      </c>
      <c r="B67" s="4" t="inlineStr">
        <is>
          <t>Амортизация (франц. бух.)</t>
        </is>
      </c>
      <c r="C67" s="5">
        <f>AMORDEGRC(1000,DATE(2024,1,1),DATE(2024,6,15),200,1,15%%)</f>
        <v/>
      </c>
      <c r="D67" s="6" t="n">
        <v>150</v>
      </c>
      <c r="E67" s="4" t="inlineStr">
        <is>
          <t>Французский бухгалтерский</t>
        </is>
      </c>
    </row>
    <row r="68">
      <c r="A68" s="4" t="inlineStr">
        <is>
          <t>AMORLINC</t>
        </is>
      </c>
      <c r="B68" s="4" t="inlineStr">
        <is>
          <t>Амортизация (линейная, франц.)</t>
        </is>
      </c>
      <c r="C68" s="5">
        <f>AMORLINC(1000,DATE(2024,1,1),DATE(2024,6,15),200,1,15%%)</f>
        <v/>
      </c>
      <c r="D68" s="6" t="n">
        <v>150</v>
      </c>
      <c r="E68" s="4" t="inlineStr">
        <is>
          <t>Французский линейный</t>
        </is>
      </c>
    </row>
    <row r="69">
      <c r="A69" s="4" t="inlineStr">
        <is>
          <t>EUROCONVERT</t>
        </is>
      </c>
      <c r="B69" s="4" t="inlineStr">
        <is>
          <t>Конвертация валют</t>
        </is>
      </c>
      <c r="C69" s="5">
        <f>EUROCONVERT(100,"EUR","USD")</f>
        <v/>
      </c>
      <c r="D69" s="6" t="n">
        <v>110</v>
      </c>
      <c r="E69" s="4" t="inlineStr">
        <is>
          <t>Евро в доллары (зависит от курса)</t>
        </is>
      </c>
    </row>
    <row r="100">
      <c r="A100" s="8" t="inlineStr">
        <is>
          <t>Годы</t>
        </is>
      </c>
      <c r="B100" s="8" t="inlineStr">
        <is>
          <t>Денежные потоки</t>
        </is>
      </c>
    </row>
    <row r="101">
      <c r="A101" s="2" t="inlineStr">
        <is>
          <t>Год</t>
        </is>
      </c>
      <c r="B101" s="2" t="inlineStr">
        <is>
          <t>Поток</t>
        </is>
      </c>
    </row>
    <row r="102">
      <c r="A102" s="2" t="inlineStr">
        <is>
          <t>2020</t>
        </is>
      </c>
      <c r="B102" s="2" t="n">
        <v>-100000</v>
      </c>
    </row>
    <row r="103">
      <c r="A103" s="2" t="inlineStr">
        <is>
          <t>2021</t>
        </is>
      </c>
      <c r="B103" s="2" t="n">
        <v>30000</v>
      </c>
    </row>
    <row r="104">
      <c r="A104" s="2" t="inlineStr">
        <is>
          <t>2022</t>
        </is>
      </c>
      <c r="B104" s="2" t="n">
        <v>40000</v>
      </c>
    </row>
    <row r="105">
      <c r="A105" s="2" t="inlineStr">
        <is>
          <t>2023</t>
        </is>
      </c>
      <c r="B105" s="2" t="n">
        <v>35000</v>
      </c>
    </row>
    <row r="106">
      <c r="A106" s="2" t="inlineStr">
        <is>
          <t>2024</t>
        </is>
      </c>
      <c r="B106" s="2" t="n">
        <v>45000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52" customWidth="1" min="3" max="3"/>
    <col width="22" customWidth="1" min="4" max="4"/>
    <col width="45" customWidth="1" min="5" max="5"/>
  </cols>
  <sheetData>
    <row r="1">
      <c r="A1" s="1" t="inlineStr">
        <is>
          <t>ИНФОРМАЦИОННЫЕ ФУНКЦИИ</t>
        </is>
      </c>
      <c r="B1" s="2" t="n"/>
      <c r="C1" s="2" t="n"/>
      <c r="D1" s="2" t="n"/>
      <c r="E1" s="2" t="n"/>
    </row>
    <row r="2">
      <c r="A2" s="3" t="inlineStr">
        <is>
          <t>Функция</t>
        </is>
      </c>
      <c r="B2" s="3" t="inlineStr">
        <is>
          <t>Описание</t>
        </is>
      </c>
      <c r="C2" s="3" t="inlineStr">
        <is>
          <t>Формула</t>
        </is>
      </c>
      <c r="D2" s="3" t="inlineStr">
        <is>
          <t>Результат</t>
        </is>
      </c>
      <c r="E2" s="3" t="inlineStr">
        <is>
          <t>Примечания</t>
        </is>
      </c>
    </row>
    <row r="3">
      <c r="A3" s="4" t="inlineStr">
        <is>
          <t>ISBLANK</t>
        </is>
      </c>
      <c r="B3" s="4" t="inlineStr">
        <is>
          <t>Проверка на пустоту (пусто)</t>
        </is>
      </c>
      <c r="C3" s="5">
        <f>ISBLANK(A103)</f>
        <v/>
      </c>
      <c r="D3" s="6" t="inlineStr">
        <is>
          <t>ИСТИНА</t>
        </is>
      </c>
      <c r="E3" s="4" t="inlineStr">
        <is>
          <t>Пустая ячейка</t>
        </is>
      </c>
    </row>
    <row r="4">
      <c r="A4" s="4" t="inlineStr">
        <is>
          <t>ISBLANK</t>
        </is>
      </c>
      <c r="B4" s="4" t="inlineStr">
        <is>
          <t>Проверка на пустоту (не пусто)</t>
        </is>
      </c>
      <c r="C4" s="5">
        <f>ISBLANK(A100)</f>
        <v/>
      </c>
      <c r="D4" s="6" t="inlineStr">
        <is>
          <t>ЛОЖЬ</t>
        </is>
      </c>
      <c r="E4" s="4" t="inlineStr">
        <is>
          <t>Не пустая</t>
        </is>
      </c>
    </row>
    <row r="5">
      <c r="A5" s="4" t="inlineStr">
        <is>
          <t>ISNUMBER</t>
        </is>
      </c>
      <c r="B5" s="4" t="inlineStr">
        <is>
          <t>Проверка на число</t>
        </is>
      </c>
      <c r="C5" s="5">
        <f>ISNUMBER(A100)</f>
        <v/>
      </c>
      <c r="D5" s="6" t="inlineStr">
        <is>
          <t>ИСТИНА</t>
        </is>
      </c>
      <c r="E5" s="4" t="inlineStr">
        <is>
          <t>42 — число</t>
        </is>
      </c>
    </row>
    <row r="6">
      <c r="A6" s="4" t="inlineStr">
        <is>
          <t>ISNUMBER</t>
        </is>
      </c>
      <c r="B6" s="4" t="inlineStr">
        <is>
          <t>Проверка текста</t>
        </is>
      </c>
      <c r="C6" s="5">
        <f>ISNUMBER(A101)</f>
        <v/>
      </c>
      <c r="D6" s="6" t="inlineStr">
        <is>
          <t>ЛОЖЬ</t>
        </is>
      </c>
      <c r="E6" s="4" t="inlineStr">
        <is>
          <t>Текст — не число</t>
        </is>
      </c>
    </row>
    <row r="7">
      <c r="A7" s="4" t="inlineStr">
        <is>
          <t>ISTEXT</t>
        </is>
      </c>
      <c r="B7" s="4" t="inlineStr">
        <is>
          <t>Проверка на текст</t>
        </is>
      </c>
      <c r="C7" s="5">
        <f>ISTEXT(A101)</f>
        <v/>
      </c>
      <c r="D7" s="6" t="inlineStr">
        <is>
          <t>ИСТИНА</t>
        </is>
      </c>
      <c r="E7" s="4" t="inlineStr">
        <is>
          <t>'текст' — текст</t>
        </is>
      </c>
    </row>
    <row r="8">
      <c r="A8" s="4" t="inlineStr">
        <is>
          <t>ISTEXT</t>
        </is>
      </c>
      <c r="B8" s="4" t="inlineStr">
        <is>
          <t>Проверка числа</t>
        </is>
      </c>
      <c r="C8" s="5">
        <f>ISTEXT(A100)</f>
        <v/>
      </c>
      <c r="D8" s="6" t="inlineStr">
        <is>
          <t>ЛОЖЬ</t>
        </is>
      </c>
      <c r="E8" s="4" t="inlineStr">
        <is>
          <t>42 — не текст</t>
        </is>
      </c>
    </row>
    <row r="9">
      <c r="A9" s="4" t="inlineStr">
        <is>
          <t>ISLOGICAL</t>
        </is>
      </c>
      <c r="B9" s="4" t="inlineStr">
        <is>
          <t>Проверка на логическое</t>
        </is>
      </c>
      <c r="C9" s="5">
        <f>ISLOGICAL(A102)</f>
        <v/>
      </c>
      <c r="D9" s="6" t="inlineStr">
        <is>
          <t>ИСТИНА</t>
        </is>
      </c>
      <c r="E9" s="4" t="inlineStr">
        <is>
          <t>TRUE — логическое</t>
        </is>
      </c>
    </row>
    <row r="10">
      <c r="A10" s="4" t="inlineStr">
        <is>
          <t>ISLOGICAL</t>
        </is>
      </c>
      <c r="B10" s="4" t="inlineStr">
        <is>
          <t>Проверка числа</t>
        </is>
      </c>
      <c r="C10" s="5">
        <f>ISLOGICAL(A100)</f>
        <v/>
      </c>
      <c r="D10" s="6" t="inlineStr">
        <is>
          <t>ЛОЖЬ</t>
        </is>
      </c>
      <c r="E10" s="4" t="inlineStr">
        <is>
          <t>42 — не логическое</t>
        </is>
      </c>
    </row>
    <row r="11">
      <c r="A11" s="4" t="inlineStr">
        <is>
          <t>ISERROR</t>
        </is>
      </c>
      <c r="B11" s="4" t="inlineStr">
        <is>
          <t>Проверка на ошибку</t>
        </is>
      </c>
      <c r="C11" s="5">
        <f>ISERROR(1/0)</f>
        <v/>
      </c>
      <c r="D11" s="6" t="inlineStr">
        <is>
          <t>ИСТИНА</t>
        </is>
      </c>
      <c r="E11" s="4" t="inlineStr">
        <is>
          <t>Деление на 0 = ошибка</t>
        </is>
      </c>
    </row>
    <row r="12">
      <c r="A12" s="4" t="inlineStr">
        <is>
          <t>ISERROR</t>
        </is>
      </c>
      <c r="B12" s="4" t="inlineStr">
        <is>
          <t>Проверка без ошибки</t>
        </is>
      </c>
      <c r="C12" s="5">
        <f>ISERROR(1/2)</f>
        <v/>
      </c>
      <c r="D12" s="6" t="inlineStr">
        <is>
          <t>ЛОЖЬ</t>
        </is>
      </c>
      <c r="E12" s="4" t="inlineStr">
        <is>
          <t>Нет ошибки</t>
        </is>
      </c>
    </row>
    <row r="13">
      <c r="A13" s="4" t="inlineStr">
        <is>
          <t>ISERR</t>
        </is>
      </c>
      <c r="B13" s="4" t="inlineStr">
        <is>
          <t>Проверка на ошибку (кроме #Н/Д)</t>
        </is>
      </c>
      <c r="C13" s="5">
        <f>ISERR(1/0)</f>
        <v/>
      </c>
      <c r="D13" s="6" t="inlineStr">
        <is>
          <t>ИСТИНА</t>
        </is>
      </c>
      <c r="E13" s="4" t="inlineStr">
        <is>
          <t>#ДЕЛ/0! — ошибка</t>
        </is>
      </c>
    </row>
    <row r="14">
      <c r="A14" s="4" t="inlineStr">
        <is>
          <t>ISERR</t>
        </is>
      </c>
      <c r="B14" s="4" t="inlineStr">
        <is>
          <t>Проверка #Н/Д</t>
        </is>
      </c>
      <c r="C14" s="5">
        <f>ISERR(NA())</f>
        <v/>
      </c>
      <c r="D14" s="6" t="inlineStr">
        <is>
          <t>ЛОЖЬ</t>
        </is>
      </c>
      <c r="E14" s="4" t="inlineStr">
        <is>
          <t>#Н/Д не считается</t>
        </is>
      </c>
    </row>
    <row r="15">
      <c r="A15" s="4" t="inlineStr">
        <is>
          <t>ISNA</t>
        </is>
      </c>
      <c r="B15" s="4" t="inlineStr">
        <is>
          <t>Проверка на #Н/Д</t>
        </is>
      </c>
      <c r="C15" s="5">
        <f>ISNA(NA())</f>
        <v/>
      </c>
      <c r="D15" s="6" t="inlineStr">
        <is>
          <t>ИСТИНА</t>
        </is>
      </c>
      <c r="E15" s="4" t="inlineStr">
        <is>
          <t>Специально #Н/Д</t>
        </is>
      </c>
    </row>
    <row r="16">
      <c r="A16" s="4" t="inlineStr">
        <is>
          <t>ISNA</t>
        </is>
      </c>
      <c r="B16" s="4" t="inlineStr">
        <is>
          <t>Проверка другой ошибки</t>
        </is>
      </c>
      <c r="C16" s="5">
        <f>ISNA(1/0)</f>
        <v/>
      </c>
      <c r="D16" s="6" t="inlineStr">
        <is>
          <t>ЛОЖЬ</t>
        </is>
      </c>
      <c r="E16" s="4" t="inlineStr">
        <is>
          <t>#ДЕЛ/0! — не #Н/Д</t>
        </is>
      </c>
    </row>
    <row r="17">
      <c r="A17" s="4" t="inlineStr">
        <is>
          <t>ISFORMULA</t>
        </is>
      </c>
      <c r="B17" s="4" t="inlineStr">
        <is>
          <t>Проверка на формулу</t>
        </is>
      </c>
      <c r="C17" s="5">
        <f>ISFORMULA(A100)</f>
        <v/>
      </c>
      <c r="D17" s="6" t="inlineStr">
        <is>
          <t>ЛОЖЬ</t>
        </is>
      </c>
      <c r="E17" s="4" t="inlineStr">
        <is>
          <t>42 введено как число</t>
        </is>
      </c>
    </row>
    <row r="18">
      <c r="A18" s="4" t="inlineStr">
        <is>
          <t>ISREF</t>
        </is>
      </c>
      <c r="B18" s="4" t="inlineStr">
        <is>
          <t>Проверка на ссылку</t>
        </is>
      </c>
      <c r="C18" s="5">
        <f>ISREF(A100)</f>
        <v/>
      </c>
      <c r="D18" s="6" t="inlineStr">
        <is>
          <t>ИСТИНА</t>
        </is>
      </c>
      <c r="E18" s="4" t="inlineStr">
        <is>
          <t>A100 — ссылка</t>
        </is>
      </c>
    </row>
    <row r="19">
      <c r="A19" s="4" t="inlineStr">
        <is>
          <t>ISREF</t>
        </is>
      </c>
      <c r="B19" s="4" t="inlineStr">
        <is>
          <t>Проверка текста</t>
        </is>
      </c>
      <c r="C19" s="5">
        <f>ISREF("A100")</f>
        <v/>
      </c>
      <c r="D19" s="6" t="inlineStr">
        <is>
          <t>ЛОЖЬ</t>
        </is>
      </c>
      <c r="E19" s="4" t="inlineStr">
        <is>
          <t>Текст — не ссылка</t>
        </is>
      </c>
    </row>
    <row r="20">
      <c r="A20" s="4" t="inlineStr">
        <is>
          <t>ISEVEN</t>
        </is>
      </c>
      <c r="B20" s="4" t="inlineStr">
        <is>
          <t>Проверка на чётность</t>
        </is>
      </c>
      <c r="C20" s="5">
        <f>ISEVEN(42)</f>
        <v/>
      </c>
      <c r="D20" s="6" t="inlineStr">
        <is>
          <t>ИСТИНА</t>
        </is>
      </c>
      <c r="E20" s="4" t="inlineStr">
        <is>
          <t>42 — чётное</t>
        </is>
      </c>
    </row>
    <row r="21">
      <c r="A21" s="4" t="inlineStr">
        <is>
          <t>ISEVEN</t>
        </is>
      </c>
      <c r="B21" s="4" t="inlineStr">
        <is>
          <t>Проверка нечётности</t>
        </is>
      </c>
      <c r="C21" s="5">
        <f>ISEVEN(43)</f>
        <v/>
      </c>
      <c r="D21" s="6" t="inlineStr">
        <is>
          <t>ЛОЖЬ</t>
        </is>
      </c>
      <c r="E21" s="4" t="inlineStr">
        <is>
          <t>43 — нечётное</t>
        </is>
      </c>
    </row>
    <row r="22">
      <c r="A22" s="4" t="inlineStr">
        <is>
          <t>ISODD</t>
        </is>
      </c>
      <c r="B22" s="4" t="inlineStr">
        <is>
          <t>Проверка на нечётность</t>
        </is>
      </c>
      <c r="C22" s="5">
        <f>ISODD(43)</f>
        <v/>
      </c>
      <c r="D22" s="6" t="inlineStr">
        <is>
          <t>ИСТИНА</t>
        </is>
      </c>
      <c r="E22" s="4" t="inlineStr">
        <is>
          <t>43 — нечётное</t>
        </is>
      </c>
    </row>
    <row r="23">
      <c r="A23" s="4" t="inlineStr">
        <is>
          <t>ISODD</t>
        </is>
      </c>
      <c r="B23" s="4" t="inlineStr">
        <is>
          <t>Проверка чётности</t>
        </is>
      </c>
      <c r="C23" s="5">
        <f>ISODD(42)</f>
        <v/>
      </c>
      <c r="D23" s="6" t="inlineStr">
        <is>
          <t>ЛОЖЬ</t>
        </is>
      </c>
      <c r="E23" s="4" t="inlineStr">
        <is>
          <t>42 — чётное</t>
        </is>
      </c>
    </row>
    <row r="24">
      <c r="A24" s="4" t="inlineStr">
        <is>
          <t>N</t>
        </is>
      </c>
      <c r="B24" s="4" t="inlineStr">
        <is>
          <t>Преобразование в число</t>
        </is>
      </c>
      <c r="C24" s="5">
        <f>N(A100)</f>
        <v/>
      </c>
      <c r="D24" s="6" t="n">
        <v>42</v>
      </c>
      <c r="E24" s="4" t="inlineStr">
        <is>
          <t>Число → число</t>
        </is>
      </c>
    </row>
    <row r="25">
      <c r="A25" s="4" t="inlineStr">
        <is>
          <t>N</t>
        </is>
      </c>
      <c r="B25" s="4" t="inlineStr">
        <is>
          <t>Текст в число</t>
        </is>
      </c>
      <c r="C25" s="5">
        <f>N(A101)</f>
        <v/>
      </c>
      <c r="D25" s="6" t="n">
        <v>0</v>
      </c>
      <c r="E25" s="4" t="inlineStr">
        <is>
          <t>Текст → 0</t>
        </is>
      </c>
    </row>
    <row r="26">
      <c r="A26" s="4" t="inlineStr">
        <is>
          <t>N</t>
        </is>
      </c>
      <c r="B26" s="4" t="inlineStr">
        <is>
          <t>Логическое в число</t>
        </is>
      </c>
      <c r="C26" s="5">
        <f>N(A102)</f>
        <v/>
      </c>
      <c r="D26" s="6" t="n">
        <v>1</v>
      </c>
      <c r="E26" s="4" t="inlineStr">
        <is>
          <t>TRUE → 1</t>
        </is>
      </c>
    </row>
    <row r="27">
      <c r="A27" s="4" t="inlineStr">
        <is>
          <t>N</t>
        </is>
      </c>
      <c r="B27" s="4" t="inlineStr">
        <is>
          <t>Дата в число</t>
        </is>
      </c>
      <c r="C27" s="5">
        <f>N(A105)</f>
        <v/>
      </c>
      <c r="D27" s="6" t="n">
        <v>45458</v>
      </c>
      <c r="E27" s="4" t="inlineStr">
        <is>
          <t>Дата → сериальный номер</t>
        </is>
      </c>
    </row>
    <row r="28">
      <c r="A28" s="4" t="inlineStr">
        <is>
          <t>NA</t>
        </is>
      </c>
      <c r="B28" s="4" t="inlineStr">
        <is>
          <t>Возврат #Н/Д</t>
        </is>
      </c>
      <c r="C28" s="5">
        <f>NA()</f>
        <v/>
      </c>
      <c r="D28" s="6" t="inlineStr">
        <is>
          <t>#Н/Д</t>
        </is>
      </c>
      <c r="E28" s="4" t="inlineStr">
        <is>
          <t>Специально возвращает ошибку</t>
        </is>
      </c>
    </row>
    <row r="29">
      <c r="A29" s="4" t="inlineStr">
        <is>
          <t>TYPE</t>
        </is>
      </c>
      <c r="B29" s="4" t="inlineStr">
        <is>
          <t>Тип числа</t>
        </is>
      </c>
      <c r="C29" s="5">
        <f>TYPE(A100)</f>
        <v/>
      </c>
      <c r="D29" s="6" t="n">
        <v>1</v>
      </c>
      <c r="E29" s="4" t="inlineStr">
        <is>
          <t>1 = число</t>
        </is>
      </c>
    </row>
    <row r="30">
      <c r="A30" s="4" t="inlineStr">
        <is>
          <t>TYPE</t>
        </is>
      </c>
      <c r="B30" s="4" t="inlineStr">
        <is>
          <t>Тип текста</t>
        </is>
      </c>
      <c r="C30" s="5">
        <f>TYPE(A101)</f>
        <v/>
      </c>
      <c r="D30" s="6" t="n">
        <v>2</v>
      </c>
      <c r="E30" s="4" t="inlineStr">
        <is>
          <t>2 = текст</t>
        </is>
      </c>
    </row>
    <row r="31">
      <c r="A31" s="4" t="inlineStr">
        <is>
          <t>TYPE</t>
        </is>
      </c>
      <c r="B31" s="4" t="inlineStr">
        <is>
          <t>Тип логического</t>
        </is>
      </c>
      <c r="C31" s="5">
        <f>TYPE(A102)</f>
        <v/>
      </c>
      <c r="D31" s="6" t="n">
        <v>4</v>
      </c>
      <c r="E31" s="4" t="inlineStr">
        <is>
          <t>4 = логическое</t>
        </is>
      </c>
    </row>
    <row r="32">
      <c r="A32" s="4" t="inlineStr">
        <is>
          <t>TYPE</t>
        </is>
      </c>
      <c r="B32" s="4" t="inlineStr">
        <is>
          <t>Тип ошибки</t>
        </is>
      </c>
      <c r="C32" s="5">
        <f>TYPE(1/0)</f>
        <v/>
      </c>
      <c r="D32" s="6" t="n">
        <v>16</v>
      </c>
      <c r="E32" s="4" t="inlineStr">
        <is>
          <t>16 = ошибка</t>
        </is>
      </c>
    </row>
    <row r="33">
      <c r="A33" s="4" t="inlineStr">
        <is>
          <t>TYPE</t>
        </is>
      </c>
      <c r="B33" s="4" t="inlineStr">
        <is>
          <t>Тип массива</t>
        </is>
      </c>
      <c r="C33" s="5">
        <f>TYPE({1,2,3})</f>
        <v/>
      </c>
      <c r="D33" s="6" t="n">
        <v>64</v>
      </c>
      <c r="E33" s="4" t="inlineStr">
        <is>
          <t>64 = массив</t>
        </is>
      </c>
    </row>
    <row r="34">
      <c r="A34" s="4" t="inlineStr">
        <is>
          <t>ERROR.TYPE</t>
        </is>
      </c>
      <c r="B34" s="4" t="inlineStr">
        <is>
          <t>Тип ошибки (#ДЕЛ/0!)</t>
        </is>
      </c>
      <c r="C34" s="5">
        <f>ERROR.TYPE(1/0)</f>
        <v/>
      </c>
      <c r="D34" s="6" t="n">
        <v>2</v>
      </c>
      <c r="E34" s="4" t="inlineStr">
        <is>
          <t>2 = #ДЕЛ/0!</t>
        </is>
      </c>
    </row>
    <row r="35">
      <c r="A35" s="4" t="inlineStr">
        <is>
          <t>ERROR.TYPE</t>
        </is>
      </c>
      <c r="B35" s="4" t="inlineStr">
        <is>
          <t>Тип ошибки (#Н/Д)</t>
        </is>
      </c>
      <c r="C35" s="5">
        <f>ERROR.TYPE(NA())</f>
        <v/>
      </c>
      <c r="D35" s="6" t="n">
        <v>7</v>
      </c>
      <c r="E35" s="4" t="inlineStr">
        <is>
          <t>7 = #Н/Д</t>
        </is>
      </c>
    </row>
    <row r="36">
      <c r="A36" s="4" t="inlineStr">
        <is>
          <t>ERROR.TYPE</t>
        </is>
      </c>
      <c r="B36" s="4" t="inlineStr">
        <is>
          <t>Тип ошибки (#ИМЯ?)</t>
        </is>
      </c>
      <c r="C36" s="5">
        <f>ERROR.TYPE(НЕСУЩЕСТВУЮЩАЯ_ФУНКЦИЯ())</f>
        <v/>
      </c>
      <c r="D36" s="6" t="n">
        <v>5</v>
      </c>
      <c r="E36" s="4" t="inlineStr">
        <is>
          <t>5 = #ИМЯ?</t>
        </is>
      </c>
    </row>
    <row r="37">
      <c r="A37" s="4" t="inlineStr">
        <is>
          <t>INFO</t>
        </is>
      </c>
      <c r="B37" s="4" t="inlineStr">
        <is>
          <t>Операционная система</t>
        </is>
      </c>
      <c r="C37" s="5">
        <f>INFO("system")</f>
        <v/>
      </c>
      <c r="D37" s="6" t="inlineStr">
        <is>
          <t>pcdos</t>
        </is>
      </c>
      <c r="E37" s="4" t="inlineStr">
        <is>
          <t>Windows/Mac/Linux</t>
        </is>
      </c>
    </row>
    <row r="38">
      <c r="A38" s="4" t="inlineStr">
        <is>
          <t>INFO</t>
        </is>
      </c>
      <c r="B38" s="4" t="inlineStr">
        <is>
          <t>Версия Excel</t>
        </is>
      </c>
      <c r="C38" s="5">
        <f>INFO("release")</f>
        <v/>
      </c>
      <c r="D38" s="6" t="inlineStr">
        <is>
          <t>16.0</t>
        </is>
      </c>
      <c r="E38" s="4" t="inlineStr">
        <is>
          <t>Версия приложения</t>
        </is>
      </c>
    </row>
    <row r="39">
      <c r="A39" s="4" t="inlineStr">
        <is>
          <t>INFO</t>
        </is>
      </c>
      <c r="B39" s="4" t="inlineStr">
        <is>
          <t>Количество книг</t>
        </is>
      </c>
      <c r="C39" s="5">
        <f>INFO("numfile")</f>
        <v/>
      </c>
      <c r="D39" s="6" t="n">
        <v>1</v>
      </c>
      <c r="E39" s="4" t="inlineStr">
        <is>
          <t>Активные книги</t>
        </is>
      </c>
    </row>
    <row r="40">
      <c r="A40" s="4" t="inlineStr">
        <is>
          <t>INFO</t>
        </is>
      </c>
      <c r="B40" s="4" t="inlineStr">
        <is>
          <t>Режим пересчёта</t>
        </is>
      </c>
      <c r="C40" s="5">
        <f>INFO("recalc")</f>
        <v/>
      </c>
      <c r="D40" s="6" t="inlineStr">
        <is>
          <t>Automatic</t>
        </is>
      </c>
      <c r="E40" s="4" t="inlineStr">
        <is>
          <t>Automatic/Manual</t>
        </is>
      </c>
    </row>
    <row r="41">
      <c r="A41" s="4" t="inlineStr">
        <is>
          <t>CELL</t>
        </is>
      </c>
      <c r="B41" s="4" t="inlineStr">
        <is>
          <t>Адрес ячейки</t>
        </is>
      </c>
      <c r="C41" s="5">
        <f>CELL("address",A100)</f>
        <v/>
      </c>
      <c r="D41" s="6" t="inlineStr">
        <is>
          <t>$A$100</t>
        </is>
      </c>
      <c r="E41" s="4" t="inlineStr">
        <is>
          <t>Абсолютный адрес</t>
        </is>
      </c>
    </row>
    <row r="42">
      <c r="A42" s="4" t="inlineStr">
        <is>
          <t>CELL</t>
        </is>
      </c>
      <c r="B42" s="4" t="inlineStr">
        <is>
          <t>Формат ячейки</t>
        </is>
      </c>
      <c r="C42" s="5">
        <f>CELL("format",A100)</f>
        <v/>
      </c>
      <c r="D42" s="6" t="inlineStr">
        <is>
          <t>G</t>
        </is>
      </c>
      <c r="E42" s="4" t="inlineStr">
        <is>
          <t>G = общий</t>
        </is>
      </c>
    </row>
    <row r="43">
      <c r="A43" s="4" t="inlineStr">
        <is>
          <t>CELL</t>
        </is>
      </c>
      <c r="B43" s="4" t="inlineStr">
        <is>
          <t>Имя файла</t>
        </is>
      </c>
      <c r="C43" s="5">
        <f>CELL("filename",A100)</f>
        <v/>
      </c>
      <c r="D43" s="6" t="inlineStr">
        <is>
          <t>Путь к файлу</t>
        </is>
      </c>
      <c r="E43" s="4" t="inlineStr">
        <is>
          <t>Путь и имя</t>
        </is>
      </c>
    </row>
    <row r="44">
      <c r="A44" s="4" t="inlineStr">
        <is>
          <t>CELL</t>
        </is>
      </c>
      <c r="B44" s="4" t="inlineStr">
        <is>
          <t>Содержимое</t>
        </is>
      </c>
      <c r="C44" s="5">
        <f>CELL("contents",A100)</f>
        <v/>
      </c>
      <c r="D44" s="6" t="n">
        <v>42</v>
      </c>
      <c r="E44" s="4" t="inlineStr">
        <is>
          <t>Значение ячейки</t>
        </is>
      </c>
    </row>
    <row r="45">
      <c r="A45" s="4" t="inlineStr">
        <is>
          <t>CELL</t>
        </is>
      </c>
      <c r="B45" s="4" t="inlineStr">
        <is>
          <t>Ширина столбца</t>
        </is>
      </c>
      <c r="C45" s="5">
        <f>CELL("colwidth",A100)</f>
        <v/>
      </c>
      <c r="D45" s="6" t="n">
        <v>20</v>
      </c>
      <c r="E45" s="4" t="inlineStr">
        <is>
          <t>Ширина в символах</t>
        </is>
      </c>
    </row>
    <row r="46">
      <c r="A46" s="4" t="inlineStr">
        <is>
          <t>SHEET</t>
        </is>
      </c>
      <c r="B46" s="4" t="inlineStr">
        <is>
          <t>Номер листа</t>
        </is>
      </c>
      <c r="C46" s="5">
        <f>SHEET()</f>
        <v/>
      </c>
      <c r="D46" s="6" t="n">
        <v>8</v>
      </c>
      <c r="E46" s="4" t="inlineStr">
        <is>
          <t>Номер текущего листа</t>
        </is>
      </c>
    </row>
    <row r="47">
      <c r="A47" s="4" t="inlineStr">
        <is>
          <t>SHEETS</t>
        </is>
      </c>
      <c r="B47" s="4" t="inlineStr">
        <is>
          <t>Количество листов</t>
        </is>
      </c>
      <c r="C47" s="5">
        <f>SHEETS()</f>
        <v/>
      </c>
      <c r="D47" s="6" t="n">
        <v>8</v>
      </c>
      <c r="E47" s="4" t="inlineStr">
        <is>
          <t>Всего листов</t>
        </is>
      </c>
    </row>
    <row r="100">
      <c r="A100" s="2" t="n">
        <v>42</v>
      </c>
    </row>
    <row r="101">
      <c r="A101" s="2" t="inlineStr">
        <is>
          <t>текст</t>
        </is>
      </c>
    </row>
    <row r="102">
      <c r="A102" s="2" t="b">
        <v>1</v>
      </c>
    </row>
    <row r="103">
      <c r="A103" s="2" t="inlineStr"/>
    </row>
    <row r="104">
      <c r="A104" s="2">
        <f>1/0</f>
        <v/>
      </c>
    </row>
    <row r="105">
      <c r="A105" s="12" t="n">
        <v>45458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52" customWidth="1" min="3" max="3"/>
    <col width="22" customWidth="1" min="4" max="4"/>
    <col width="45" customWidth="1" min="5" max="5"/>
  </cols>
  <sheetData>
    <row r="1">
      <c r="A1" s="1" t="inlineStr">
        <is>
          <t>ИНЖЕНЕРНЫЕ ФУНКЦИИ</t>
        </is>
      </c>
      <c r="B1" s="2" t="n"/>
      <c r="C1" s="2" t="n"/>
      <c r="D1" s="2" t="n"/>
      <c r="E1" s="2" t="n"/>
    </row>
    <row r="2">
      <c r="A2" s="3" t="inlineStr">
        <is>
          <t>Функция</t>
        </is>
      </c>
      <c r="B2" s="3" t="inlineStr">
        <is>
          <t>Описание</t>
        </is>
      </c>
      <c r="C2" s="3" t="inlineStr">
        <is>
          <t>Формула</t>
        </is>
      </c>
      <c r="D2" s="3" t="inlineStr">
        <is>
          <t>Результат</t>
        </is>
      </c>
      <c r="E2" s="3" t="inlineStr">
        <is>
          <t>Примечания</t>
        </is>
      </c>
    </row>
    <row r="3">
      <c r="A3" s="4" t="inlineStr">
        <is>
          <t>BIN2DEC</t>
        </is>
      </c>
      <c r="B3" s="4" t="inlineStr">
        <is>
          <t>Двоичное в десятичное</t>
        </is>
      </c>
      <c r="C3" s="5">
        <f>BIN2DEC("1010")</f>
        <v/>
      </c>
      <c r="D3" s="6" t="n">
        <v>10</v>
      </c>
      <c r="E3" s="4" t="inlineStr">
        <is>
          <t>1010₂ = 10</t>
        </is>
      </c>
    </row>
    <row r="4">
      <c r="A4" s="4" t="inlineStr">
        <is>
          <t>BIN2HEX</t>
        </is>
      </c>
      <c r="B4" s="4" t="inlineStr">
        <is>
          <t>Двоичное в шестнадцатеричное</t>
        </is>
      </c>
      <c r="C4" s="5">
        <f>BIN2HEX("1010")</f>
        <v/>
      </c>
      <c r="D4" s="6" t="inlineStr">
        <is>
          <t>A</t>
        </is>
      </c>
      <c r="E4" s="4" t="inlineStr">
        <is>
          <t>1010₂ = A₁₆</t>
        </is>
      </c>
    </row>
    <row r="5">
      <c r="A5" s="4" t="inlineStr">
        <is>
          <t>BIN2OCT</t>
        </is>
      </c>
      <c r="B5" s="4" t="inlineStr">
        <is>
          <t>Двоичное в восьмеричное</t>
        </is>
      </c>
      <c r="C5" s="5">
        <f>BIN2OCT("1010")</f>
        <v/>
      </c>
      <c r="D5" s="6" t="inlineStr">
        <is>
          <t>12</t>
        </is>
      </c>
      <c r="E5" s="4" t="inlineStr">
        <is>
          <t>1010₂ = 12₈</t>
        </is>
      </c>
    </row>
    <row r="6">
      <c r="A6" s="4" t="inlineStr">
        <is>
          <t>DEC2BIN</t>
        </is>
      </c>
      <c r="B6" s="4" t="inlineStr">
        <is>
          <t>Десятичное в двоичное</t>
        </is>
      </c>
      <c r="C6" s="5">
        <f>DEC2BIN(10)</f>
        <v/>
      </c>
      <c r="D6" s="6" t="inlineStr">
        <is>
          <t>1010</t>
        </is>
      </c>
      <c r="E6" s="4" t="inlineStr">
        <is>
          <t>10 = 1010₂</t>
        </is>
      </c>
    </row>
    <row r="7">
      <c r="A7" s="4" t="inlineStr">
        <is>
          <t>DEC2HEX</t>
        </is>
      </c>
      <c r="B7" s="4" t="inlineStr">
        <is>
          <t>Десятичное в шестнадцатеричное</t>
        </is>
      </c>
      <c r="C7" s="5">
        <f>DEC2HEX(255)</f>
        <v/>
      </c>
      <c r="D7" s="6" t="inlineStr">
        <is>
          <t>FF</t>
        </is>
      </c>
      <c r="E7" s="4" t="inlineStr">
        <is>
          <t>255 = FF₁₆</t>
        </is>
      </c>
    </row>
    <row r="8">
      <c r="A8" s="4" t="inlineStr">
        <is>
          <t>DEC2OCT</t>
        </is>
      </c>
      <c r="B8" s="4" t="inlineStr">
        <is>
          <t>Десятичное в восьмеричное</t>
        </is>
      </c>
      <c r="C8" s="5">
        <f>DEC2OCT(10)</f>
        <v/>
      </c>
      <c r="D8" s="6" t="inlineStr">
        <is>
          <t>12</t>
        </is>
      </c>
      <c r="E8" s="4" t="inlineStr">
        <is>
          <t>10 = 12₈</t>
        </is>
      </c>
    </row>
    <row r="9">
      <c r="A9" s="4" t="inlineStr">
        <is>
          <t>HEX2BIN</t>
        </is>
      </c>
      <c r="B9" s="4" t="inlineStr">
        <is>
          <t>Шестнадцатеричное в двоичное</t>
        </is>
      </c>
      <c r="C9" s="5">
        <f>HEX2BIN("A")</f>
        <v/>
      </c>
      <c r="D9" s="6" t="inlineStr">
        <is>
          <t>1010</t>
        </is>
      </c>
      <c r="E9" s="4" t="inlineStr">
        <is>
          <t>A₁₆ = 1010₂</t>
        </is>
      </c>
    </row>
    <row r="10">
      <c r="A10" s="4" t="inlineStr">
        <is>
          <t>HEX2DEC</t>
        </is>
      </c>
      <c r="B10" s="4" t="inlineStr">
        <is>
          <t>Шестнадцатеричное в десятичное</t>
        </is>
      </c>
      <c r="C10" s="5">
        <f>HEX2DEC("FF")</f>
        <v/>
      </c>
      <c r="D10" s="6" t="n">
        <v>255</v>
      </c>
      <c r="E10" s="4" t="inlineStr">
        <is>
          <t>FF₁₆ = 255</t>
        </is>
      </c>
    </row>
    <row r="11">
      <c r="A11" s="4" t="inlineStr">
        <is>
          <t>HEX2OCT</t>
        </is>
      </c>
      <c r="B11" s="4" t="inlineStr">
        <is>
          <t>Шестнадцатеричное в восьмеричное</t>
        </is>
      </c>
      <c r="C11" s="5">
        <f>HEX2OCT("FF")</f>
        <v/>
      </c>
      <c r="D11" s="6" t="inlineStr">
        <is>
          <t>377</t>
        </is>
      </c>
      <c r="E11" s="4" t="inlineStr">
        <is>
          <t>FF₁₆ = 377₈</t>
        </is>
      </c>
    </row>
    <row r="12">
      <c r="A12" s="4" t="inlineStr">
        <is>
          <t>OCT2BIN</t>
        </is>
      </c>
      <c r="B12" s="4" t="inlineStr">
        <is>
          <t>Восьмеричное в двоичное</t>
        </is>
      </c>
      <c r="C12" s="5">
        <f>OCT2BIN("12")</f>
        <v/>
      </c>
      <c r="D12" s="6" t="inlineStr">
        <is>
          <t>1010</t>
        </is>
      </c>
      <c r="E12" s="4" t="inlineStr">
        <is>
          <t>12₈ = 1010₂</t>
        </is>
      </c>
    </row>
    <row r="13">
      <c r="A13" s="4" t="inlineStr">
        <is>
          <t>OCT2DEC</t>
        </is>
      </c>
      <c r="B13" s="4" t="inlineStr">
        <is>
          <t>Восьмеричное в десятичное</t>
        </is>
      </c>
      <c r="C13" s="5">
        <f>OCT2DEC("12")</f>
        <v/>
      </c>
      <c r="D13" s="6" t="n">
        <v>10</v>
      </c>
      <c r="E13" s="4" t="inlineStr">
        <is>
          <t>12₈ = 10</t>
        </is>
      </c>
    </row>
    <row r="14">
      <c r="A14" s="4" t="inlineStr">
        <is>
          <t>OCT2HEX</t>
        </is>
      </c>
      <c r="B14" s="4" t="inlineStr">
        <is>
          <t>Восьмеричное в шестнадцатеричное</t>
        </is>
      </c>
      <c r="C14" s="5">
        <f>OCT2HEX("377")</f>
        <v/>
      </c>
      <c r="D14" s="6" t="inlineStr">
        <is>
          <t>FF</t>
        </is>
      </c>
      <c r="E14" s="4" t="inlineStr">
        <is>
          <t>377₈ = FF₁₆</t>
        </is>
      </c>
    </row>
    <row r="15">
      <c r="A15" s="4" t="inlineStr">
        <is>
          <t>COMPLEX</t>
        </is>
      </c>
      <c r="B15" s="4" t="inlineStr">
        <is>
          <t>Комплексное число</t>
        </is>
      </c>
      <c r="C15" s="5">
        <f>COMPLEX(3,4)</f>
        <v/>
      </c>
      <c r="D15" s="6" t="inlineStr">
        <is>
          <t>3+4i</t>
        </is>
      </c>
      <c r="E15" s="4" t="inlineStr">
        <is>
          <t>3 + 4i</t>
        </is>
      </c>
    </row>
    <row r="16">
      <c r="A16" s="4" t="inlineStr">
        <is>
          <t>COMPLEX</t>
        </is>
      </c>
      <c r="B16" s="4" t="inlineStr">
        <is>
          <t>Комплексное с суффиксом</t>
        </is>
      </c>
      <c r="C16" s="5">
        <f>COMPLEX(3,4,"j")</f>
        <v/>
      </c>
      <c r="D16" s="6" t="inlineStr">
        <is>
          <t>3+4j</t>
        </is>
      </c>
      <c r="E16" s="4" t="inlineStr">
        <is>
          <t>С суффиксом j</t>
        </is>
      </c>
    </row>
    <row r="17">
      <c r="A17" s="4" t="inlineStr">
        <is>
          <t>IMABS</t>
        </is>
      </c>
      <c r="B17" s="4" t="inlineStr">
        <is>
          <t>Модуль комплексного</t>
        </is>
      </c>
      <c r="C17" s="5">
        <f>IMABS("3+4i")</f>
        <v/>
      </c>
      <c r="D17" s="6" t="n">
        <v>5</v>
      </c>
      <c r="E17" s="4" t="inlineStr">
        <is>
          <t>|3+4i| = 5</t>
        </is>
      </c>
    </row>
    <row r="18">
      <c r="A18" s="4" t="inlineStr">
        <is>
          <t>IMAGINARY</t>
        </is>
      </c>
      <c r="B18" s="4" t="inlineStr">
        <is>
          <t>Мнимая часть</t>
        </is>
      </c>
      <c r="C18" s="5">
        <f>IMAGINARY("3+4i")</f>
        <v/>
      </c>
      <c r="D18" s="6" t="n">
        <v>4</v>
      </c>
      <c r="E18" s="4" t="inlineStr">
        <is>
          <t>Мнимая часть = 4</t>
        </is>
      </c>
    </row>
    <row r="19">
      <c r="A19" s="4" t="inlineStr">
        <is>
          <t>IMREAL</t>
        </is>
      </c>
      <c r="B19" s="4" t="inlineStr">
        <is>
          <t>Действительная часть</t>
        </is>
      </c>
      <c r="C19" s="5">
        <f>IMREAL("3+4i")</f>
        <v/>
      </c>
      <c r="D19" s="6" t="n">
        <v>3</v>
      </c>
      <c r="E19" s="4" t="inlineStr">
        <is>
          <t>Действительная часть = 3</t>
        </is>
      </c>
    </row>
    <row r="20">
      <c r="A20" s="4" t="inlineStr">
        <is>
          <t>IMARGUMENT</t>
        </is>
      </c>
      <c r="B20" s="4" t="inlineStr">
        <is>
          <t>Аргумент комплексного</t>
        </is>
      </c>
      <c r="C20" s="5">
        <f>IMARGUMENT("3+4i")</f>
        <v/>
      </c>
      <c r="D20" s="6" t="n">
        <v>0.93</v>
      </c>
      <c r="E20" s="4" t="inlineStr">
        <is>
          <t>arg(3+4i) ≈ 0,93 рад</t>
        </is>
      </c>
    </row>
    <row r="21">
      <c r="A21" s="4" t="inlineStr">
        <is>
          <t>IMCONJUGATE</t>
        </is>
      </c>
      <c r="B21" s="4" t="inlineStr">
        <is>
          <t>Сопряжённое</t>
        </is>
      </c>
      <c r="C21" s="5">
        <f>IMCONJUGATE("3+4i")</f>
        <v/>
      </c>
      <c r="D21" s="6" t="inlineStr">
        <is>
          <t>3-4i</t>
        </is>
      </c>
      <c r="E21" s="4" t="inlineStr">
        <is>
          <t>3 − 4i</t>
        </is>
      </c>
    </row>
    <row r="22">
      <c r="A22" s="4" t="inlineStr">
        <is>
          <t>IMCOS</t>
        </is>
      </c>
      <c r="B22" s="4" t="inlineStr">
        <is>
          <t>Косинус комплексного</t>
        </is>
      </c>
      <c r="C22" s="5">
        <f>IMCOS("3+4i")</f>
        <v/>
      </c>
      <c r="D22" s="6" t="inlineStr">
        <is>
          <t>-27.03-3.85i</t>
        </is>
      </c>
      <c r="E22" s="4" t="inlineStr">
        <is>
          <t>cos(3+4i)</t>
        </is>
      </c>
    </row>
    <row r="23">
      <c r="A23" s="4" t="inlineStr">
        <is>
          <t>IMCOSH</t>
        </is>
      </c>
      <c r="B23" s="4" t="inlineStr">
        <is>
          <t>Гиперболический косинус</t>
        </is>
      </c>
      <c r="C23" s="5">
        <f>IMCOSH("3+4i")</f>
        <v/>
      </c>
      <c r="D23" s="6" t="inlineStr">
        <is>
          <t>-6.58-7.58i</t>
        </is>
      </c>
      <c r="E23" s="4" t="inlineStr">
        <is>
          <t>ch(3+4i)</t>
        </is>
      </c>
    </row>
    <row r="24">
      <c r="A24" s="4" t="inlineStr">
        <is>
          <t>IMCOT</t>
        </is>
      </c>
      <c r="B24" s="4" t="inlineStr">
        <is>
          <t>Котангенс комплексного</t>
        </is>
      </c>
      <c r="C24" s="5">
        <f>IMCOT("3+4i")</f>
        <v/>
      </c>
      <c r="D24" s="6" t="inlineStr">
        <is>
          <t>-0.01+1.00i</t>
        </is>
      </c>
      <c r="E24" s="4" t="inlineStr">
        <is>
          <t>ctg(3+4i)</t>
        </is>
      </c>
    </row>
    <row r="25">
      <c r="A25" s="4" t="inlineStr">
        <is>
          <t>IMCSC</t>
        </is>
      </c>
      <c r="B25" s="4" t="inlineStr">
        <is>
          <t>Косеканс комплексного</t>
        </is>
      </c>
      <c r="C25" s="5">
        <f>IMCSC("3+4i")</f>
        <v/>
      </c>
      <c r="D25" s="6" t="inlineStr">
        <is>
          <t>0.01-0.04i</t>
        </is>
      </c>
      <c r="E25" s="4" t="inlineStr">
        <is>
          <t>csc(3+4i)</t>
        </is>
      </c>
    </row>
    <row r="26">
      <c r="A26" s="4" t="inlineStr">
        <is>
          <t>IMCSCH</t>
        </is>
      </c>
      <c r="B26" s="4" t="inlineStr">
        <is>
          <t>Гиперболический косеканс</t>
        </is>
      </c>
      <c r="C26" s="5">
        <f>IMCSCH("3+4i")</f>
        <v/>
      </c>
      <c r="D26" s="6" t="inlineStr">
        <is>
          <t>0.04-0.01i</t>
        </is>
      </c>
      <c r="E26" s="4" t="inlineStr">
        <is>
          <t>csch(3+4i)</t>
        </is>
      </c>
    </row>
    <row r="27">
      <c r="A27" s="4" t="inlineStr">
        <is>
          <t>IMDIV</t>
        </is>
      </c>
      <c r="B27" s="4" t="inlineStr">
        <is>
          <t>Деление комплексных</t>
        </is>
      </c>
      <c r="C27" s="5">
        <f>IMDIV("3+4i","1+2i")</f>
        <v/>
      </c>
      <c r="D27" s="6" t="inlineStr">
        <is>
          <t>2.2-0.4i</t>
        </is>
      </c>
      <c r="E27" s="4" t="inlineStr">
        <is>
          <t>(3+4i)/(1+2i)</t>
        </is>
      </c>
    </row>
    <row r="28">
      <c r="A28" s="4" t="inlineStr">
        <is>
          <t>IMEXP</t>
        </is>
      </c>
      <c r="B28" s="4" t="inlineStr">
        <is>
          <t>Экспонента комплексного</t>
        </is>
      </c>
      <c r="C28" s="5">
        <f>IMEXP("3+4i")</f>
        <v/>
      </c>
      <c r="D28" s="6" t="inlineStr">
        <is>
          <t>-13.13-15.20i</t>
        </is>
      </c>
      <c r="E28" s="4" t="inlineStr">
        <is>
          <t>e^(3+4i)</t>
        </is>
      </c>
    </row>
    <row r="29">
      <c r="A29" s="4" t="inlineStr">
        <is>
          <t>IMLN</t>
        </is>
      </c>
      <c r="B29" s="4" t="inlineStr">
        <is>
          <t>Натуральный логарифм</t>
        </is>
      </c>
      <c r="C29" s="5">
        <f>IMLN("3+4i")</f>
        <v/>
      </c>
      <c r="D29" s="6" t="inlineStr">
        <is>
          <t>1.61+0.93i</t>
        </is>
      </c>
      <c r="E29" s="4" t="inlineStr">
        <is>
          <t>ln(3+4i)</t>
        </is>
      </c>
    </row>
    <row r="30">
      <c r="A30" s="4" t="inlineStr">
        <is>
          <t>IMLOG10</t>
        </is>
      </c>
      <c r="B30" s="4" t="inlineStr">
        <is>
          <t>Десятичный логарифм</t>
        </is>
      </c>
      <c r="C30" s="5">
        <f>IMLOG10("3+4i")</f>
        <v/>
      </c>
      <c r="D30" s="6" t="inlineStr">
        <is>
          <t>0.70+0.40i</t>
        </is>
      </c>
      <c r="E30" s="4" t="inlineStr">
        <is>
          <t>log₁₀(3+4i)</t>
        </is>
      </c>
    </row>
    <row r="31">
      <c r="A31" s="4" t="inlineStr">
        <is>
          <t>IMLOG2</t>
        </is>
      </c>
      <c r="B31" s="4" t="inlineStr">
        <is>
          <t>Двоичный логарифм</t>
        </is>
      </c>
      <c r="C31" s="5">
        <f>IMLOG2("3+4i")</f>
        <v/>
      </c>
      <c r="D31" s="6" t="inlineStr">
        <is>
          <t>2.32+1.34i</t>
        </is>
      </c>
      <c r="E31" s="4" t="inlineStr">
        <is>
          <t>log₂(3+4i)</t>
        </is>
      </c>
    </row>
    <row r="32">
      <c r="A32" s="4" t="inlineStr">
        <is>
          <t>IMPOWER</t>
        </is>
      </c>
      <c r="B32" s="4" t="inlineStr">
        <is>
          <t>Возведение в степень</t>
        </is>
      </c>
      <c r="C32" s="5">
        <f>IMPOWER("3+4i",2)</f>
        <v/>
      </c>
      <c r="D32" s="6" t="inlineStr">
        <is>
          <t>-7+24i</t>
        </is>
      </c>
      <c r="E32" s="4" t="inlineStr">
        <is>
          <t>(3+4i)² = -7+24i</t>
        </is>
      </c>
    </row>
    <row r="33">
      <c r="A33" s="4" t="inlineStr">
        <is>
          <t>IMPRODUCT</t>
        </is>
      </c>
      <c r="B33" s="4" t="inlineStr">
        <is>
          <t>Произведение комплексных</t>
        </is>
      </c>
      <c r="C33" s="5">
        <f>IMPRODUCT("3+4i","1+2i")</f>
        <v/>
      </c>
      <c r="D33" s="6" t="inlineStr">
        <is>
          <t>-5+10i</t>
        </is>
      </c>
      <c r="E33" s="4" t="inlineStr">
        <is>
          <t>(3+4i)·(1+2i)</t>
        </is>
      </c>
    </row>
    <row r="34">
      <c r="A34" s="4" t="inlineStr">
        <is>
          <t>IMSEC</t>
        </is>
      </c>
      <c r="B34" s="4" t="inlineStr">
        <is>
          <t>Секанс комплексного</t>
        </is>
      </c>
      <c r="C34" s="5">
        <f>IMSEC("3+4i")</f>
        <v/>
      </c>
      <c r="D34" s="6" t="inlineStr">
        <is>
          <t>-0.04-0.01i</t>
        </is>
      </c>
      <c r="E34" s="4" t="inlineStr">
        <is>
          <t>sec(3+4i)</t>
        </is>
      </c>
    </row>
    <row r="35">
      <c r="A35" s="4" t="inlineStr">
        <is>
          <t>IMSECH</t>
        </is>
      </c>
      <c r="B35" s="4" t="inlineStr">
        <is>
          <t>Гиперболический секанс</t>
        </is>
      </c>
      <c r="C35" s="5">
        <f>IMSECH("3+4i")</f>
        <v/>
      </c>
      <c r="D35" s="6" t="inlineStr">
        <is>
          <t>-0.06+0.07i</t>
        </is>
      </c>
      <c r="E35" s="4" t="inlineStr">
        <is>
          <t>sech(3+4i)</t>
        </is>
      </c>
    </row>
    <row r="36">
      <c r="A36" s="4" t="inlineStr">
        <is>
          <t>IMSIN</t>
        </is>
      </c>
      <c r="B36" s="4" t="inlineStr">
        <is>
          <t>Синус комплексного</t>
        </is>
      </c>
      <c r="C36" s="5">
        <f>IMSIN("3+4i")</f>
        <v/>
      </c>
      <c r="D36" s="6" t="inlineStr">
        <is>
          <t>3.85-27.03i</t>
        </is>
      </c>
      <c r="E36" s="4" t="inlineStr">
        <is>
          <t>sin(3+4i)</t>
        </is>
      </c>
    </row>
    <row r="37">
      <c r="A37" s="4" t="inlineStr">
        <is>
          <t>IMSINH</t>
        </is>
      </c>
      <c r="B37" s="4" t="inlineStr">
        <is>
          <t>Гиперболический синус</t>
        </is>
      </c>
      <c r="C37" s="5">
        <f>IMSINH("3+4i")</f>
        <v/>
      </c>
      <c r="D37" s="6" t="inlineStr">
        <is>
          <t>-6.55-7.62i</t>
        </is>
      </c>
      <c r="E37" s="4" t="inlineStr">
        <is>
          <t>sh(3+4i)</t>
        </is>
      </c>
    </row>
    <row r="38">
      <c r="A38" s="4" t="inlineStr">
        <is>
          <t>IMSQRT</t>
        </is>
      </c>
      <c r="B38" s="4" t="inlineStr">
        <is>
          <t>Корень комплексного</t>
        </is>
      </c>
      <c r="C38" s="5">
        <f>IMSQRT("3+4i")</f>
        <v/>
      </c>
      <c r="D38" s="6" t="inlineStr">
        <is>
          <t>2+1i</t>
        </is>
      </c>
      <c r="E38" s="4" t="inlineStr">
        <is>
          <t>√(3+4i) = 2+i</t>
        </is>
      </c>
    </row>
    <row r="39">
      <c r="A39" s="4" t="inlineStr">
        <is>
          <t>IMSUB</t>
        </is>
      </c>
      <c r="B39" s="4" t="inlineStr">
        <is>
          <t>Разность комплексных</t>
        </is>
      </c>
      <c r="C39" s="5">
        <f>IMSUB("3+4i","1+2i")</f>
        <v/>
      </c>
      <c r="D39" s="6" t="inlineStr">
        <is>
          <t>2+2i</t>
        </is>
      </c>
      <c r="E39" s="4" t="inlineStr">
        <is>
          <t>(3+4i)−(1+2i)</t>
        </is>
      </c>
    </row>
    <row r="40">
      <c r="A40" s="4" t="inlineStr">
        <is>
          <t>IMSUM</t>
        </is>
      </c>
      <c r="B40" s="4" t="inlineStr">
        <is>
          <t>Сумма комплексных</t>
        </is>
      </c>
      <c r="C40" s="5">
        <f>IMSUM("3+4i","1+2i")</f>
        <v/>
      </c>
      <c r="D40" s="6" t="inlineStr">
        <is>
          <t>4+6i</t>
        </is>
      </c>
      <c r="E40" s="4" t="inlineStr">
        <is>
          <t>(3+4i)+(1+2i)</t>
        </is>
      </c>
    </row>
    <row r="41">
      <c r="A41" s="4" t="inlineStr">
        <is>
          <t>IMTAN</t>
        </is>
      </c>
      <c r="B41" s="4" t="inlineStr">
        <is>
          <t>Тангенс комплексного</t>
        </is>
      </c>
      <c r="C41" s="5">
        <f>IMTAN("3+4i")</f>
        <v/>
      </c>
      <c r="D41" s="6" t="inlineStr">
        <is>
          <t>0.00-1.00i</t>
        </is>
      </c>
      <c r="E41" s="4" t="inlineStr">
        <is>
          <t>tg(3+4i)</t>
        </is>
      </c>
    </row>
    <row r="42">
      <c r="A42" s="4" t="inlineStr">
        <is>
          <t>CONVERT</t>
        </is>
      </c>
      <c r="B42" s="4" t="inlineStr">
        <is>
          <t>Конвертация единиц</t>
        </is>
      </c>
      <c r="C42" s="5">
        <f>CONVERT(1,"mi","km")</f>
        <v/>
      </c>
      <c r="D42" s="6" t="n">
        <v>1.61</v>
      </c>
      <c r="E42" s="4" t="inlineStr">
        <is>
          <t>1 миля = 1,61 км</t>
        </is>
      </c>
    </row>
    <row r="43">
      <c r="A43" s="4" t="inlineStr">
        <is>
          <t>CONVERT</t>
        </is>
      </c>
      <c r="B43" s="4" t="inlineStr">
        <is>
          <t>Конвертация температуры</t>
        </is>
      </c>
      <c r="C43" s="5">
        <f>CONVERT(100,"C","F")</f>
        <v/>
      </c>
      <c r="D43" s="6" t="n">
        <v>212</v>
      </c>
      <c r="E43" s="4" t="inlineStr">
        <is>
          <t>100°C = 212°F</t>
        </is>
      </c>
    </row>
    <row r="44">
      <c r="A44" s="4" t="inlineStr">
        <is>
          <t>CONVERT</t>
        </is>
      </c>
      <c r="B44" s="4" t="inlineStr">
        <is>
          <t>Конвертация массы</t>
        </is>
      </c>
      <c r="C44" s="5">
        <f>CONVERT(1,"kg","lbm")</f>
        <v/>
      </c>
      <c r="D44" s="6" t="n">
        <v>2.2</v>
      </c>
      <c r="E44" s="4" t="inlineStr">
        <is>
          <t>1 кг = 2,2 фунта</t>
        </is>
      </c>
    </row>
    <row r="45">
      <c r="A45" s="4" t="inlineStr">
        <is>
          <t>DELTA</t>
        </is>
      </c>
      <c r="B45" s="4" t="inlineStr">
        <is>
          <t>Проверка равенства</t>
        </is>
      </c>
      <c r="C45" s="5">
        <f>DELTA(5,5)</f>
        <v/>
      </c>
      <c r="D45" s="6" t="n">
        <v>1</v>
      </c>
      <c r="E45" s="4" t="inlineStr">
        <is>
          <t>5=5 → 1</t>
        </is>
      </c>
    </row>
    <row r="46">
      <c r="A46" s="4" t="inlineStr">
        <is>
          <t>DELTA</t>
        </is>
      </c>
      <c r="B46" s="4" t="inlineStr">
        <is>
          <t>Проверка неравенства</t>
        </is>
      </c>
      <c r="C46" s="5">
        <f>DELTA(5,4)</f>
        <v/>
      </c>
      <c r="D46" s="6" t="n">
        <v>0</v>
      </c>
      <c r="E46" s="4" t="inlineStr">
        <is>
          <t>5≠4 → 0</t>
        </is>
      </c>
    </row>
    <row r="47">
      <c r="A47" s="4" t="inlineStr">
        <is>
          <t>ERF</t>
        </is>
      </c>
      <c r="B47" s="4" t="inlineStr">
        <is>
          <t>Функция ошибок</t>
        </is>
      </c>
      <c r="C47" s="5">
        <f>ERF(1)</f>
        <v/>
      </c>
      <c r="D47" s="6" t="n">
        <v>0.84</v>
      </c>
      <c r="E47" s="4" t="inlineStr">
        <is>
          <t>erf(1) ≈ 0,843</t>
        </is>
      </c>
    </row>
    <row r="48">
      <c r="A48" s="4" t="inlineStr">
        <is>
          <t>ERF.PRECISE</t>
        </is>
      </c>
      <c r="B48" s="4" t="inlineStr">
        <is>
          <t>Точная функция ошибок</t>
        </is>
      </c>
      <c r="C48" s="5">
        <f>ERF.PRECISE(1)</f>
        <v/>
      </c>
      <c r="D48" s="6" t="n">
        <v>0.84</v>
      </c>
      <c r="E48" s="4" t="inlineStr">
        <is>
          <t>То же, точнее</t>
        </is>
      </c>
    </row>
    <row r="49">
      <c r="A49" s="4" t="inlineStr">
        <is>
          <t>ERFC</t>
        </is>
      </c>
      <c r="B49" s="4" t="inlineStr">
        <is>
          <t>Дополнительная функция ошибок</t>
        </is>
      </c>
      <c r="C49" s="5">
        <f>ERFC(1)</f>
        <v/>
      </c>
      <c r="D49" s="6" t="n">
        <v>0.16</v>
      </c>
      <c r="E49" s="4" t="inlineStr">
        <is>
          <t>erfc(1) = 1−erf(1)</t>
        </is>
      </c>
    </row>
    <row r="50">
      <c r="A50" s="4" t="inlineStr">
        <is>
          <t>ERFC.PRECISE</t>
        </is>
      </c>
      <c r="B50" s="4" t="inlineStr">
        <is>
          <t>Точная доп. функция ошибок</t>
        </is>
      </c>
      <c r="C50" s="5">
        <f>ERFC.PRECISE(1)</f>
        <v/>
      </c>
      <c r="D50" s="6" t="n">
        <v>0.16</v>
      </c>
      <c r="E50" s="4" t="inlineStr">
        <is>
          <t>То же, точнее</t>
        </is>
      </c>
    </row>
    <row r="51">
      <c r="A51" s="4" t="inlineStr">
        <is>
          <t>GESTEP</t>
        </is>
      </c>
      <c r="B51" s="4" t="inlineStr">
        <is>
          <t>Проверка ≥ порога</t>
        </is>
      </c>
      <c r="C51" s="5">
        <f>GESTEP(5,4)</f>
        <v/>
      </c>
      <c r="D51" s="6" t="n">
        <v>1</v>
      </c>
      <c r="E51" s="4" t="inlineStr">
        <is>
          <t>5≥4 → 1</t>
        </is>
      </c>
    </row>
    <row r="52">
      <c r="A52" s="4" t="inlineStr">
        <is>
          <t>GESTEP</t>
        </is>
      </c>
      <c r="B52" s="4" t="inlineStr">
        <is>
          <t>Проверка &lt; порога</t>
        </is>
      </c>
      <c r="C52" s="5">
        <f>GESTEP(3,4)</f>
        <v/>
      </c>
      <c r="D52" s="6" t="n">
        <v>0</v>
      </c>
      <c r="E52" s="4" t="inlineStr">
        <is>
          <t>3&lt;4 → 0</t>
        </is>
      </c>
    </row>
    <row r="53">
      <c r="A53" s="4" t="inlineStr">
        <is>
          <t>BITAND</t>
        </is>
      </c>
      <c r="B53" s="4" t="inlineStr">
        <is>
          <t>Побитовое И</t>
        </is>
      </c>
      <c r="C53" s="5">
        <f>BITAND(5,3)</f>
        <v/>
      </c>
      <c r="D53" s="6" t="n">
        <v>1</v>
      </c>
      <c r="E53" s="4" t="inlineStr">
        <is>
          <t>101₂ &amp; 011₂ = 001₂ = 1</t>
        </is>
      </c>
    </row>
    <row r="54">
      <c r="A54" s="4" t="inlineStr">
        <is>
          <t>BITOR</t>
        </is>
      </c>
      <c r="B54" s="4" t="inlineStr">
        <is>
          <t>Побитовое ИЛИ</t>
        </is>
      </c>
      <c r="C54" s="5">
        <f>BITOR(5,3)</f>
        <v/>
      </c>
      <c r="D54" s="6" t="n">
        <v>7</v>
      </c>
      <c r="E54" s="4" t="inlineStr">
        <is>
          <t>101₂ | 011₂ = 111₂ = 7</t>
        </is>
      </c>
    </row>
    <row r="55">
      <c r="A55" s="4" t="inlineStr">
        <is>
          <t>BITXOR</t>
        </is>
      </c>
      <c r="B55" s="4" t="inlineStr">
        <is>
          <t>Побитовое исключающее ИЛИ</t>
        </is>
      </c>
      <c r="C55" s="5">
        <f>BITXOR(5,3)</f>
        <v/>
      </c>
      <c r="D55" s="6" t="n">
        <v>6</v>
      </c>
      <c r="E55" s="4" t="inlineStr">
        <is>
          <t>101₂ ⊕ 011₂ = 110₂ = 6</t>
        </is>
      </c>
    </row>
    <row r="56">
      <c r="A56" s="4" t="inlineStr">
        <is>
          <t>BITLSHIFT</t>
        </is>
      </c>
      <c r="B56" s="4" t="inlineStr">
        <is>
          <t>Побитовый сдвиг влево</t>
        </is>
      </c>
      <c r="C56" s="5">
        <f>BITLSHIFT(5,2)</f>
        <v/>
      </c>
      <c r="D56" s="6" t="n">
        <v>20</v>
      </c>
      <c r="E56" s="4" t="inlineStr">
        <is>
          <t>101₂ &lt;&lt; 2 = 10100₂ = 20</t>
        </is>
      </c>
    </row>
    <row r="57">
      <c r="A57" s="4" t="inlineStr">
        <is>
          <t>BITRSHIFT</t>
        </is>
      </c>
      <c r="B57" s="4" t="inlineStr">
        <is>
          <t>Побитовый сдвиг вправо</t>
        </is>
      </c>
      <c r="C57" s="5">
        <f>BITRSHIFT(20,2)</f>
        <v/>
      </c>
      <c r="D57" s="6" t="n">
        <v>5</v>
      </c>
      <c r="E57" s="4" t="inlineStr">
        <is>
          <t>10100₂ &gt;&gt; 2 = 101₂ = 5</t>
        </is>
      </c>
    </row>
    <row r="58">
      <c r="A58" s="4" t="inlineStr">
        <is>
          <t>BITNOT</t>
        </is>
      </c>
      <c r="B58" s="4" t="inlineStr">
        <is>
          <t>Побитовое НЕ</t>
        </is>
      </c>
      <c r="C58" s="5">
        <f>BITNOT(5)</f>
        <v/>
      </c>
      <c r="D58" s="6" t="n">
        <v>-6</v>
      </c>
      <c r="E58" s="4" t="inlineStr">
        <is>
          <t>~101₂ = ...11111010₂ = −6</t>
        </is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52" customWidth="1" min="3" max="3"/>
    <col width="22" customWidth="1" min="4" max="4"/>
    <col width="45" customWidth="1" min="5" max="5"/>
  </cols>
  <sheetData>
    <row r="1">
      <c r="A1" s="1" t="inlineStr">
        <is>
          <t>ФУНКЦИИ БАЗ ДАННЫХ</t>
        </is>
      </c>
      <c r="B1" s="2" t="n"/>
      <c r="C1" s="2" t="n"/>
      <c r="D1" s="2" t="n"/>
      <c r="E1" s="2" t="n"/>
    </row>
    <row r="2">
      <c r="A2" s="3" t="inlineStr">
        <is>
          <t>Функция</t>
        </is>
      </c>
      <c r="B2" s="3" t="inlineStr">
        <is>
          <t>Описание</t>
        </is>
      </c>
      <c r="C2" s="3" t="inlineStr">
        <is>
          <t>Формула</t>
        </is>
      </c>
      <c r="D2" s="3" t="inlineStr">
        <is>
          <t>Результат</t>
        </is>
      </c>
      <c r="E2" s="3" t="inlineStr">
        <is>
          <t>Примечания</t>
        </is>
      </c>
    </row>
    <row r="3">
      <c r="A3" s="4" t="inlineStr">
        <is>
          <t>DAVERAGE</t>
        </is>
      </c>
      <c r="B3" s="4" t="inlineStr">
        <is>
          <t>Среднее по условию БД</t>
        </is>
      </c>
      <c r="C3" s="5">
        <f>DAVERAGE(A100:E106,"Зарплата",H100:H101)</f>
        <v/>
      </c>
      <c r="D3" s="6" t="n">
        <v>60000</v>
      </c>
      <c r="E3" s="4" t="inlineStr">
        <is>
          <t>Средняя зарплата в IT</t>
        </is>
      </c>
    </row>
    <row r="4">
      <c r="A4" s="4" t="inlineStr">
        <is>
          <t>DCOUNT</t>
        </is>
      </c>
      <c r="B4" s="4" t="inlineStr">
        <is>
          <t>Количество чисел по условию</t>
        </is>
      </c>
      <c r="C4" s="5">
        <f>DCOUNT(A100:E106,"Зарплата",H100:H101)</f>
        <v/>
      </c>
      <c r="D4" s="6" t="n">
        <v>2</v>
      </c>
      <c r="E4" s="4" t="inlineStr">
        <is>
          <t>2 сотрудника в IT</t>
        </is>
      </c>
    </row>
    <row r="5">
      <c r="A5" s="4" t="inlineStr">
        <is>
          <t>DCOUNTA</t>
        </is>
      </c>
      <c r="B5" s="4" t="inlineStr">
        <is>
          <t>Количество непустых по условию</t>
        </is>
      </c>
      <c r="C5" s="5">
        <f>DCOUNTA(A100:E106,"Имя",H100:H101)</f>
        <v/>
      </c>
      <c r="D5" s="6" t="n">
        <v>2</v>
      </c>
      <c r="E5" s="4" t="inlineStr">
        <is>
          <t>2 имени в IT</t>
        </is>
      </c>
    </row>
    <row r="6">
      <c r="A6" s="4" t="inlineStr">
        <is>
          <t>DGET</t>
        </is>
      </c>
      <c r="B6" s="4" t="inlineStr">
        <is>
          <t>Единственное значение</t>
        </is>
      </c>
      <c r="C6" s="5">
        <f>DGET(A100:E106,"Зарплата",H100:H101)</f>
        <v/>
      </c>
      <c r="D6" s="6" t="inlineStr">
        <is>
          <t>#ЧИСЛО!</t>
        </is>
      </c>
      <c r="E6" s="4" t="inlineStr">
        <is>
          <t>Несколько значений → ошибка</t>
        </is>
      </c>
    </row>
    <row r="7">
      <c r="A7" s="4" t="inlineStr">
        <is>
          <t>DGET</t>
        </is>
      </c>
      <c r="B7" s="4" t="inlineStr">
        <is>
          <t>DGET с уникальным</t>
        </is>
      </c>
      <c r="C7" s="5">
        <f>DGET(A100:E106,"Зарплата",H100:H102)</f>
        <v/>
      </c>
      <c r="D7" s="6" t="n">
        <v>50000</v>
      </c>
      <c r="E7" s="4" t="inlineStr">
        <is>
          <t>Единственное значение</t>
        </is>
      </c>
    </row>
    <row r="8">
      <c r="A8" s="4" t="inlineStr">
        <is>
          <t>DMAX</t>
        </is>
      </c>
      <c r="B8" s="4" t="inlineStr">
        <is>
          <t>Максимум по условию</t>
        </is>
      </c>
      <c r="C8" s="5">
        <f>DMAX(A100:E106,"Зарплата",H100:H101)</f>
        <v/>
      </c>
      <c r="D8" s="6" t="n">
        <v>70000</v>
      </c>
      <c r="E8" s="4" t="inlineStr">
        <is>
          <t>Макс. зарплата в IT</t>
        </is>
      </c>
    </row>
    <row r="9">
      <c r="A9" s="4" t="inlineStr">
        <is>
          <t>DMIN</t>
        </is>
      </c>
      <c r="B9" s="4" t="inlineStr">
        <is>
          <t>Минимум по условию</t>
        </is>
      </c>
      <c r="C9" s="5">
        <f>DMIN(A100:E106,"Зарплата",H100:H101)</f>
        <v/>
      </c>
      <c r="D9" s="6" t="n">
        <v>50000</v>
      </c>
      <c r="E9" s="4" t="inlineStr">
        <is>
          <t>Мин. зарплата в IT</t>
        </is>
      </c>
    </row>
    <row r="10">
      <c r="A10" s="4" t="inlineStr">
        <is>
          <t>DPRODUCT</t>
        </is>
      </c>
      <c r="B10" s="4" t="inlineStr">
        <is>
          <t>Произведение по условию</t>
        </is>
      </c>
      <c r="C10" s="5">
        <f>DPRODUCT(A100:E106,"Зарплата",H100:H101)</f>
        <v/>
      </c>
      <c r="D10" s="6" t="n">
        <v>3500000000</v>
      </c>
      <c r="E10" s="4" t="inlineStr">
        <is>
          <t>50000·70000</t>
        </is>
      </c>
    </row>
    <row r="11">
      <c r="A11" s="4" t="inlineStr">
        <is>
          <t>DSTDEV</t>
        </is>
      </c>
      <c r="B11" s="4" t="inlineStr">
        <is>
          <t>Станд. отклонение (выборка)</t>
        </is>
      </c>
      <c r="C11" s="5">
        <f>DSTDEV(A100:E106,"Зарплата",H100:H101)</f>
        <v/>
      </c>
      <c r="D11" s="6" t="n">
        <v>14142.14</v>
      </c>
      <c r="E11" s="4" t="inlineStr">
        <is>
          <t>Для выборки</t>
        </is>
      </c>
    </row>
    <row r="12">
      <c r="A12" s="4" t="inlineStr">
        <is>
          <t>DSTDEVP</t>
        </is>
      </c>
      <c r="B12" s="4" t="inlineStr">
        <is>
          <t>Станд. отклонение (генерал.)</t>
        </is>
      </c>
      <c r="C12" s="5">
        <f>DSTDEVP(A100:E106,"Зарплата",H100:H101)</f>
        <v/>
      </c>
      <c r="D12" s="6" t="n">
        <v>10000</v>
      </c>
      <c r="E12" s="4" t="inlineStr">
        <is>
          <t>Для совокупности</t>
        </is>
      </c>
    </row>
    <row r="13">
      <c r="A13" s="4" t="inlineStr">
        <is>
          <t>DSUM</t>
        </is>
      </c>
      <c r="B13" s="4" t="inlineStr">
        <is>
          <t>Сумма по условию</t>
        </is>
      </c>
      <c r="C13" s="5">
        <f>DSUM(A100:E106,"Зарплата",H100:H101)</f>
        <v/>
      </c>
      <c r="D13" s="6" t="n">
        <v>120000</v>
      </c>
      <c r="E13" s="4" t="inlineStr">
        <is>
          <t>50000+70000</t>
        </is>
      </c>
    </row>
    <row r="14">
      <c r="A14" s="4" t="inlineStr">
        <is>
          <t>DVAR</t>
        </is>
      </c>
      <c r="B14" s="4" t="inlineStr">
        <is>
          <t>Дисперсия (выборка)</t>
        </is>
      </c>
      <c r="C14" s="5">
        <f>DVAR(A100:E106,"Зарплата",H100:H101)</f>
        <v/>
      </c>
      <c r="D14" s="6" t="n">
        <v>200000000</v>
      </c>
      <c r="E14" s="4" t="inlineStr">
        <is>
          <t>Выборочная</t>
        </is>
      </c>
    </row>
    <row r="15">
      <c r="A15" s="4" t="inlineStr">
        <is>
          <t>DVARP</t>
        </is>
      </c>
      <c r="B15" s="4" t="inlineStr">
        <is>
          <t>Дисперсия (генерал.)</t>
        </is>
      </c>
      <c r="C15" s="5">
        <f>DVARP(A100:E106,"Зарплата",H100:H101)</f>
        <v/>
      </c>
      <c r="D15" s="6" t="n">
        <v>100000000</v>
      </c>
      <c r="E15" s="4" t="inlineStr">
        <is>
          <t>Генеральная</t>
        </is>
      </c>
    </row>
    <row r="16">
      <c r="A16" s="4" t="inlineStr">
        <is>
          <t>DCOUNT</t>
        </is>
      </c>
      <c r="B16" s="4" t="inlineStr">
        <is>
          <t>С числовым условием</t>
        </is>
      </c>
      <c r="C16" s="5">
        <f>DCOUNT(A100:E106,"Возраст",H100:H101)</f>
        <v/>
      </c>
      <c r="D16" s="6" t="n">
        <v>2</v>
      </c>
      <c r="E16" s="4" t="inlineStr">
        <is>
          <t>Возраст — число</t>
        </is>
      </c>
    </row>
    <row r="17">
      <c r="A17" s="4" t="inlineStr">
        <is>
          <t>DSUM</t>
        </is>
      </c>
      <c r="B17" s="4" t="inlineStr">
        <is>
          <t>С несколькими условиями</t>
        </is>
      </c>
      <c r="C17" s="5">
        <f>DSUM(A100:E106,"Зарплата",H100:H102)</f>
        <v/>
      </c>
      <c r="D17" s="6" t="n">
        <v>120000</v>
      </c>
      <c r="E17" s="4" t="inlineStr">
        <is>
          <t>IT отдел</t>
        </is>
      </c>
    </row>
    <row r="18">
      <c r="A18" s="4" t="inlineStr">
        <is>
          <t>DAVERAGE</t>
        </is>
      </c>
      <c r="B18" s="4" t="inlineStr">
        <is>
          <t>Средний стаж</t>
        </is>
      </c>
      <c r="C18" s="5">
        <f>DAVERAGE(A100:E106,"Стаж",H100:H101)</f>
        <v/>
      </c>
      <c r="D18" s="6" t="n">
        <v>5</v>
      </c>
      <c r="E18" s="4" t="inlineStr">
        <is>
          <t>(2+8)/2 = 5</t>
        </is>
      </c>
    </row>
    <row r="19">
      <c r="A19" s="4" t="inlineStr">
        <is>
          <t>DMAX</t>
        </is>
      </c>
      <c r="B19" s="4" t="inlineStr">
        <is>
          <t>Максимальный возраст в IT</t>
        </is>
      </c>
      <c r="C19" s="5">
        <f>DMAX(A100:E106,"Возраст",H100:H101)</f>
        <v/>
      </c>
      <c r="D19" s="6" t="n">
        <v>35</v>
      </c>
      <c r="E19" s="4" t="inlineStr">
        <is>
          <t>Макс. возраст</t>
        </is>
      </c>
    </row>
    <row r="20">
      <c r="A20" s="4" t="inlineStr">
        <is>
          <t>DMIN</t>
        </is>
      </c>
      <c r="B20" s="4" t="inlineStr">
        <is>
          <t>Минимальный стаж в IT</t>
        </is>
      </c>
      <c r="C20" s="5">
        <f>DMIN(A100:E106,"Стаж",H100:H101)</f>
        <v/>
      </c>
      <c r="D20" s="6" t="n">
        <v>2</v>
      </c>
      <c r="E20" s="4" t="inlineStr">
        <is>
          <t>Мин. стаж</t>
        </is>
      </c>
    </row>
    <row r="21">
      <c r="A21" s="4" t="inlineStr">
        <is>
          <t>DPRODUCT</t>
        </is>
      </c>
      <c r="B21" s="4" t="inlineStr">
        <is>
          <t>Произведение стажа</t>
        </is>
      </c>
      <c r="C21" s="5">
        <f>DPRODUCT(A100:E106,"Стаж",H100:H101)</f>
        <v/>
      </c>
      <c r="D21" s="6" t="n">
        <v>16</v>
      </c>
      <c r="E21" s="4" t="inlineStr">
        <is>
          <t>2·8 = 16</t>
        </is>
      </c>
    </row>
    <row r="22">
      <c r="A22" s="4" t="inlineStr">
        <is>
          <t>DCOUNTA</t>
        </is>
      </c>
      <c r="B22" s="4" t="inlineStr">
        <is>
          <t>Все непустые в IT</t>
        </is>
      </c>
      <c r="C22" s="5">
        <f>DCOUNTA(A100:E106,"Имя",H100:H101)</f>
        <v/>
      </c>
      <c r="D22" s="6" t="n">
        <v>2</v>
      </c>
      <c r="E22" s="4" t="inlineStr">
        <is>
          <t>2 записи</t>
        </is>
      </c>
    </row>
    <row r="100">
      <c r="A100" s="8" t="inlineStr">
        <is>
          <t>Имя</t>
        </is>
      </c>
      <c r="B100" s="8" t="inlineStr">
        <is>
          <t>Отдел</t>
        </is>
      </c>
      <c r="C100" s="8" t="inlineStr">
        <is>
          <t>Зарплата</t>
        </is>
      </c>
      <c r="D100" s="8" t="inlineStr">
        <is>
          <t>Возраст</t>
        </is>
      </c>
      <c r="E100" s="8" t="inlineStr">
        <is>
          <t>Стаж</t>
        </is>
      </c>
      <c r="H100" s="8" t="inlineStr">
        <is>
          <t>Отдел</t>
        </is>
      </c>
    </row>
    <row r="101">
      <c r="A101" s="2" t="inlineStr">
        <is>
          <t>Иванов</t>
        </is>
      </c>
      <c r="B101" s="2" t="inlineStr">
        <is>
          <t>IT</t>
        </is>
      </c>
      <c r="C101" s="2" t="n">
        <v>50000</v>
      </c>
      <c r="D101" s="2" t="n">
        <v>25</v>
      </c>
      <c r="E101" s="2" t="n">
        <v>2</v>
      </c>
      <c r="H101" s="2" t="inlineStr">
        <is>
          <t>IT</t>
        </is>
      </c>
    </row>
    <row r="102">
      <c r="A102" s="2" t="inlineStr">
        <is>
          <t>Петров</t>
        </is>
      </c>
      <c r="B102" s="2" t="inlineStr">
        <is>
          <t>Бухгалтерия</t>
        </is>
      </c>
      <c r="C102" s="2" t="n">
        <v>60000</v>
      </c>
      <c r="D102" s="2" t="n">
        <v>30</v>
      </c>
      <c r="E102" s="2" t="n">
        <v>5</v>
      </c>
    </row>
    <row r="103">
      <c r="A103" s="2" t="inlineStr">
        <is>
          <t>Сидоров</t>
        </is>
      </c>
      <c r="B103" s="2" t="inlineStr">
        <is>
          <t>HR</t>
        </is>
      </c>
      <c r="C103" s="2" t="n">
        <v>55000</v>
      </c>
      <c r="D103" s="2" t="n">
        <v>28</v>
      </c>
      <c r="E103" s="2" t="n">
        <v>3</v>
      </c>
    </row>
    <row r="104">
      <c r="A104" s="2" t="inlineStr">
        <is>
          <t>Кузнецов</t>
        </is>
      </c>
      <c r="B104" s="2" t="inlineStr">
        <is>
          <t>IT</t>
        </is>
      </c>
      <c r="C104" s="2" t="n">
        <v>70000</v>
      </c>
      <c r="D104" s="2" t="n">
        <v>35</v>
      </c>
      <c r="E104" s="2" t="n">
        <v>8</v>
      </c>
    </row>
    <row r="105">
      <c r="A105" s="2" t="inlineStr">
        <is>
          <t>Смирнов</t>
        </is>
      </c>
      <c r="B105" s="2" t="inlineStr">
        <is>
          <t>Продажи</t>
        </is>
      </c>
      <c r="C105" s="2" t="n">
        <v>45000</v>
      </c>
      <c r="D105" s="2" t="n">
        <v>22</v>
      </c>
      <c r="E105" s="2" t="n">
        <v>1</v>
      </c>
    </row>
    <row r="106">
      <c r="A106" s="2" t="inlineStr">
        <is>
          <t>Попов</t>
        </is>
      </c>
      <c r="B106" s="2" t="inlineStr">
        <is>
          <t>HR</t>
        </is>
      </c>
      <c r="C106" s="2" t="n">
        <v>65000</v>
      </c>
      <c r="D106" s="2" t="n">
        <v>32</v>
      </c>
      <c r="E106" s="2" t="n">
        <v>6</v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52" customWidth="1" min="3" max="3"/>
    <col width="22" customWidth="1" min="4" max="4"/>
    <col width="45" customWidth="1" min="5" max="5"/>
  </cols>
  <sheetData>
    <row r="1">
      <c r="A1" s="1" t="inlineStr">
        <is>
          <t>ДИНАМИЧЕСКИЕ МАССИВЫ (Excel 365 / 2021+)</t>
        </is>
      </c>
      <c r="B1" s="2" t="n"/>
      <c r="C1" s="2" t="n"/>
      <c r="D1" s="2" t="n"/>
      <c r="E1" s="2" t="n"/>
    </row>
    <row r="2">
      <c r="A2" s="3" t="inlineStr">
        <is>
          <t>Функция</t>
        </is>
      </c>
      <c r="B2" s="3" t="inlineStr">
        <is>
          <t>Описание</t>
        </is>
      </c>
      <c r="C2" s="3" t="inlineStr">
        <is>
          <t>Формула</t>
        </is>
      </c>
      <c r="D2" s="3" t="inlineStr">
        <is>
          <t>Результат</t>
        </is>
      </c>
      <c r="E2" s="3" t="inlineStr">
        <is>
          <t>Примечания</t>
        </is>
      </c>
    </row>
    <row r="3">
      <c r="A3" s="4" t="inlineStr">
        <is>
          <t>FILTER</t>
        </is>
      </c>
      <c r="B3" s="4" t="inlineStr">
        <is>
          <t>Фильтрация по условию</t>
        </is>
      </c>
      <c r="C3" s="5">
        <f>FILTER(A101:D106,C101:C106&gt;50000)</f>
        <v/>
      </c>
      <c r="D3" s="6" t="inlineStr">
        <is>
          <t>4 строки</t>
        </is>
      </c>
      <c r="E3" s="4" t="inlineStr">
        <is>
          <t>Зарплата &gt; 50000</t>
        </is>
      </c>
    </row>
    <row r="4">
      <c r="A4" s="4" t="inlineStr">
        <is>
          <t>FILTER</t>
        </is>
      </c>
      <c r="B4" s="4" t="inlineStr">
        <is>
          <t>Фильтрация с ошибкой</t>
        </is>
      </c>
      <c r="C4" s="5">
        <f>FILTER(A101:D106,C101:C106&gt;80000,"Нет данных")</f>
        <v/>
      </c>
      <c r="D4" s="6" t="inlineStr">
        <is>
          <t>Нет данных</t>
        </is>
      </c>
      <c r="E4" s="4" t="inlineStr">
        <is>
          <t>Ничего не найдено</t>
        </is>
      </c>
    </row>
    <row r="5">
      <c r="A5" s="4" t="inlineStr">
        <is>
          <t>SORT</t>
        </is>
      </c>
      <c r="B5" s="4" t="inlineStr">
        <is>
          <t>Сортировка по возрастанию</t>
        </is>
      </c>
      <c r="C5" s="5">
        <f>SORT(A101:D106,3,1)</f>
        <v/>
      </c>
      <c r="D5" s="6" t="inlineStr">
        <is>
          <t>6 строк</t>
        </is>
      </c>
      <c r="E5" s="4" t="inlineStr">
        <is>
          <t>По зарплате ↑</t>
        </is>
      </c>
    </row>
    <row r="6">
      <c r="A6" s="4" t="inlineStr">
        <is>
          <t>SORT</t>
        </is>
      </c>
      <c r="B6" s="4" t="inlineStr">
        <is>
          <t>Сортировка по убыванию</t>
        </is>
      </c>
      <c r="C6" s="5">
        <f>SORT(A101:D106,3,-1)</f>
        <v/>
      </c>
      <c r="D6" s="6" t="inlineStr">
        <is>
          <t>6 строк</t>
        </is>
      </c>
      <c r="E6" s="4" t="inlineStr">
        <is>
          <t>По зарплате ↓</t>
        </is>
      </c>
    </row>
    <row r="7">
      <c r="A7" s="4" t="inlineStr">
        <is>
          <t>SORT</t>
        </is>
      </c>
      <c r="B7" s="4" t="inlineStr">
        <is>
          <t>Сортировка по нескольким столбцам</t>
        </is>
      </c>
      <c r="C7" s="5">
        <f>SORT(A101:D106,{4,3},{1,-1})</f>
        <v/>
      </c>
      <c r="D7" s="6" t="inlineStr">
        <is>
          <t>6 строк</t>
        </is>
      </c>
      <c r="E7" s="4" t="inlineStr">
        <is>
          <t>Сначала отдел ↑, потом зарплата ↓</t>
        </is>
      </c>
    </row>
    <row r="8">
      <c r="A8" s="4" t="inlineStr">
        <is>
          <t>SORTBY</t>
        </is>
      </c>
      <c r="B8" s="4" t="inlineStr">
        <is>
          <t>Сортировка по другому столбцу</t>
        </is>
      </c>
      <c r="C8" s="5">
        <f>SORTBY(A101:A106,C101:C106,-1)</f>
        <v/>
      </c>
      <c r="D8" s="6" t="inlineStr">
        <is>
          <t>6 фамилий</t>
        </is>
      </c>
      <c r="E8" s="4" t="inlineStr">
        <is>
          <t>По зарплате ↓</t>
        </is>
      </c>
    </row>
    <row r="9">
      <c r="A9" s="4" t="inlineStr">
        <is>
          <t>UNIQUE</t>
        </is>
      </c>
      <c r="B9" s="4" t="inlineStr">
        <is>
          <t>Уникальные значения столбца</t>
        </is>
      </c>
      <c r="C9" s="5">
        <f>UNIQUE(D101:D106)</f>
        <v/>
      </c>
      <c r="D9" s="6" t="inlineStr">
        <is>
          <t>4 значения</t>
        </is>
      </c>
      <c r="E9" s="4" t="inlineStr">
        <is>
          <t>IT, Бухгалтерия, HR, Продажи</t>
        </is>
      </c>
    </row>
    <row r="10">
      <c r="A10" s="4" t="inlineStr">
        <is>
          <t>UNIQUE</t>
        </is>
      </c>
      <c r="B10" s="4" t="inlineStr">
        <is>
          <t>Уникальные строки</t>
        </is>
      </c>
      <c r="C10" s="5">
        <f>UNIQUE(A101:D106)</f>
        <v/>
      </c>
      <c r="D10" s="6" t="inlineStr">
        <is>
          <t>6 строк</t>
        </is>
      </c>
      <c r="E10" s="4" t="inlineStr">
        <is>
          <t>Все уникальные строки</t>
        </is>
      </c>
    </row>
    <row r="11">
      <c r="A11" s="4" t="inlineStr">
        <is>
          <t>UNIQUE</t>
        </is>
      </c>
      <c r="B11" s="4" t="inlineStr">
        <is>
          <t>Уникальные по столбцу</t>
        </is>
      </c>
      <c r="C11" s="5">
        <f>UNIQUE(D101:D106,TRUE)</f>
        <v/>
      </c>
      <c r="D11" s="6" t="inlineStr">
        <is>
          <t>4 значения</t>
        </is>
      </c>
      <c r="E11" s="4" t="inlineStr">
        <is>
          <t>По столбцам</t>
        </is>
      </c>
    </row>
    <row r="12">
      <c r="A12" s="4" t="inlineStr">
        <is>
          <t>SEQUENCE</t>
        </is>
      </c>
      <c r="B12" s="4" t="inlineStr">
        <is>
          <t>Последовательность 5×3</t>
        </is>
      </c>
      <c r="C12" s="5">
        <f>SEQUENCE(5,3,10,5)</f>
        <v/>
      </c>
      <c r="D12" s="6" t="inlineStr">
        <is>
          <t>5×3 массив</t>
        </is>
      </c>
      <c r="E12" s="4" t="inlineStr">
        <is>
          <t>С 10, шаг 5</t>
        </is>
      </c>
    </row>
    <row r="13">
      <c r="A13" s="4" t="inlineStr">
        <is>
          <t>SEQUENCE</t>
        </is>
      </c>
      <c r="B13" s="4" t="inlineStr">
        <is>
          <t>Простая последовательность</t>
        </is>
      </c>
      <c r="C13" s="5">
        <f>SEQUENCE(10)</f>
        <v/>
      </c>
      <c r="D13" s="6" t="inlineStr">
        <is>
          <t>10×1</t>
        </is>
      </c>
      <c r="E13" s="4" t="inlineStr">
        <is>
          <t>1,2,3,...,10</t>
        </is>
      </c>
    </row>
    <row r="14">
      <c r="A14" s="4" t="inlineStr">
        <is>
          <t>SEQUENCE</t>
        </is>
      </c>
      <c r="B14" s="4" t="inlineStr">
        <is>
          <t>Двумерная</t>
        </is>
      </c>
      <c r="C14" s="5">
        <f>SEQUENCE(3,4)</f>
        <v/>
      </c>
      <c r="D14" s="6" t="inlineStr">
        <is>
          <t>3×4</t>
        </is>
      </c>
      <c r="E14" s="4" t="inlineStr">
        <is>
          <t>1..12</t>
        </is>
      </c>
    </row>
    <row r="15">
      <c r="A15" s="4" t="inlineStr">
        <is>
          <t>RANDARRAY</t>
        </is>
      </c>
      <c r="B15" s="4" t="inlineStr">
        <is>
          <t>Случайные целые</t>
        </is>
      </c>
      <c r="C15" s="5">
        <f>RANDARRAY(3,3,1,100,TRUE)</f>
        <v/>
      </c>
      <c r="D15" s="6" t="inlineStr">
        <is>
          <t>3×3 массив</t>
        </is>
      </c>
      <c r="E15" s="4" t="inlineStr">
        <is>
          <t>От 1 до 100</t>
        </is>
      </c>
    </row>
    <row r="16">
      <c r="A16" s="4" t="inlineStr">
        <is>
          <t>RANDARRAY</t>
        </is>
      </c>
      <c r="B16" s="4" t="inlineStr">
        <is>
          <t>Случайные дробные</t>
        </is>
      </c>
      <c r="C16" s="5">
        <f>RANDARRAY(2,2)</f>
        <v/>
      </c>
      <c r="D16" s="6" t="inlineStr">
        <is>
          <t>2×2</t>
        </is>
      </c>
      <c r="E16" s="4" t="inlineStr">
        <is>
          <t>От 0 до 1</t>
        </is>
      </c>
    </row>
    <row r="17">
      <c r="A17" s="4" t="inlineStr">
        <is>
          <t>XLOOKUP</t>
        </is>
      </c>
      <c r="B17" s="4" t="inlineStr">
        <is>
          <t>Поиск с точным совпадением</t>
        </is>
      </c>
      <c r="C17" s="5">
        <f>XLOOKUP("Иванов",A101:A106,B101:B106)</f>
        <v/>
      </c>
      <c r="D17" s="6" t="inlineStr">
        <is>
          <t>Иван</t>
        </is>
      </c>
      <c r="E17" s="4" t="inlineStr">
        <is>
          <t>Excel 365+</t>
        </is>
      </c>
    </row>
    <row r="18">
      <c r="A18" s="4" t="inlineStr">
        <is>
          <t>XLOOKUP</t>
        </is>
      </c>
      <c r="B18" s="4" t="inlineStr">
        <is>
          <t>Поиск с значением по умолчанию</t>
        </is>
      </c>
      <c r="C18" s="5">
        <f>XLOOKUP("Неизвестный",A101:A106,B101:B106,"Нет")</f>
        <v/>
      </c>
      <c r="D18" s="6" t="inlineStr">
        <is>
          <t>Нет</t>
        </is>
      </c>
      <c r="E18" s="4" t="inlineStr">
        <is>
          <t>Если не найдено</t>
        </is>
      </c>
    </row>
    <row r="19">
      <c r="A19" s="4" t="inlineStr">
        <is>
          <t>XLOOKUP</t>
        </is>
      </c>
      <c r="B19" s="4" t="inlineStr">
        <is>
          <t>Поиск в обратном порядке</t>
        </is>
      </c>
      <c r="C19" s="5">
        <f>XLOOKUP("HR",D101:D106,A101:A106,,,-1)</f>
        <v/>
      </c>
      <c r="D19" s="6" t="inlineStr">
        <is>
          <t>Попов</t>
        </is>
      </c>
      <c r="E19" s="4" t="inlineStr">
        <is>
          <t>Последний HR</t>
        </is>
      </c>
    </row>
    <row r="20">
      <c r="A20" s="4" t="inlineStr">
        <is>
          <t>XLOOKUP</t>
        </is>
      </c>
      <c r="B20" s="4" t="inlineStr">
        <is>
          <t>Возврат нескольких столбцов</t>
        </is>
      </c>
      <c r="C20" s="5">
        <f>XLOOKUP("Иванов",A101:A106,B101:D106)</f>
        <v/>
      </c>
      <c r="D20" s="6" t="inlineStr">
        <is>
          <t>1×3</t>
        </is>
      </c>
      <c r="E20" s="4" t="inlineStr">
        <is>
          <t>Имя, зарплата, отдел</t>
        </is>
      </c>
    </row>
    <row r="21">
      <c r="A21" s="4" t="inlineStr">
        <is>
          <t>XLOOKUP</t>
        </is>
      </c>
      <c r="B21" s="4" t="inlineStr">
        <is>
          <t>Поиск с подстановочными</t>
        </is>
      </c>
      <c r="C21" s="5">
        <f>XLOOKUP("Ива*",A101:A106,B101:B106,,2)</f>
        <v/>
      </c>
      <c r="D21" s="6" t="inlineStr">
        <is>
          <t>Иван</t>
        </is>
      </c>
      <c r="E21" s="4" t="inlineStr">
        <is>
          <t>2 = подстановочные</t>
        </is>
      </c>
    </row>
    <row r="22">
      <c r="A22" s="4" t="inlineStr">
        <is>
          <t>XMATCH</t>
        </is>
      </c>
      <c r="B22" s="4" t="inlineStr">
        <is>
          <t>Точное совпадение</t>
        </is>
      </c>
      <c r="C22" s="5">
        <f>XMATCH("Иванов",A101:A106,0)</f>
        <v/>
      </c>
      <c r="D22" s="6" t="n">
        <v>1</v>
      </c>
      <c r="E22" s="4" t="inlineStr">
        <is>
          <t>0 = точное</t>
        </is>
      </c>
    </row>
    <row r="23">
      <c r="A23" s="4" t="inlineStr">
        <is>
          <t>XMATCH</t>
        </is>
      </c>
      <c r="B23" s="4" t="inlineStr">
        <is>
          <t>Следующее меньшее</t>
        </is>
      </c>
      <c r="C23" s="5">
        <f>XMATCH(58000,C101:C106,-1)</f>
        <v/>
      </c>
      <c r="D23" s="6" t="n">
        <v>2</v>
      </c>
      <c r="E23" s="4" t="inlineStr">
        <is>
          <t>−1 = следующее меньшее</t>
        </is>
      </c>
    </row>
    <row r="24">
      <c r="A24" s="4" t="inlineStr">
        <is>
          <t>XMATCH</t>
        </is>
      </c>
      <c r="B24" s="4" t="inlineStr">
        <is>
          <t>Следующее большее</t>
        </is>
      </c>
      <c r="C24" s="5">
        <f>XMATCH(58000,C101:C106,1)</f>
        <v/>
      </c>
      <c r="D24" s="6" t="n">
        <v>3</v>
      </c>
      <c r="E24" s="4" t="inlineStr">
        <is>
          <t>1 = следующее большее</t>
        </is>
      </c>
    </row>
    <row r="25">
      <c r="A25" s="4" t="inlineStr">
        <is>
          <t>XMATCH</t>
        </is>
      </c>
      <c r="B25" s="4" t="inlineStr">
        <is>
          <t>Двоичный поиск (возр.)</t>
        </is>
      </c>
      <c r="C25" s="5">
        <f>XMATCH(55000,C101:C106,1,2)</f>
        <v/>
      </c>
      <c r="D25" s="6" t="n">
        <v>3</v>
      </c>
      <c r="E25" s="4" t="inlineStr">
        <is>
          <t>2 = двоичный поиск</t>
        </is>
      </c>
    </row>
    <row r="26">
      <c r="A26" s="4" t="inlineStr">
        <is>
          <t>LET</t>
        </is>
      </c>
      <c r="B26" s="4" t="inlineStr">
        <is>
          <t>Именованные переменные</t>
        </is>
      </c>
      <c r="C26" s="5">
        <f>LET(x,10,y,20,x+y)</f>
        <v/>
      </c>
      <c r="D26" s="6" t="n">
        <v>30</v>
      </c>
      <c r="E26" s="4" t="inlineStr">
        <is>
          <t>Создаёт переменные</t>
        </is>
      </c>
    </row>
    <row r="27">
      <c r="A27" s="4" t="inlineStr">
        <is>
          <t>LET</t>
        </is>
      </c>
      <c r="B27" s="4" t="inlineStr">
        <is>
          <t>Сложное вычисление</t>
        </is>
      </c>
      <c r="C27" s="5">
        <f>LET(a,10,b,20,c,a+b,c*2)</f>
        <v/>
      </c>
      <c r="D27" s="6" t="n">
        <v>60</v>
      </c>
      <c r="E27" s="4" t="inlineStr">
        <is>
          <t>(10+20)·2 = 60</t>
        </is>
      </c>
    </row>
    <row r="28">
      <c r="A28" s="4" t="inlineStr">
        <is>
          <t>LAMBDA</t>
        </is>
      </c>
      <c r="B28" s="4" t="inlineStr">
        <is>
          <t>Пользовательская функция</t>
        </is>
      </c>
      <c r="C28" s="5">
        <f>LAMBDA(x,y,x+y)(10,20)</f>
        <v/>
      </c>
      <c r="D28" s="6" t="n">
        <v>30</v>
      </c>
      <c r="E28" s="4" t="inlineStr">
        <is>
          <t>Своя функция</t>
        </is>
      </c>
    </row>
    <row r="29">
      <c r="A29" s="4" t="inlineStr">
        <is>
          <t>LAMBDA</t>
        </is>
      </c>
      <c r="B29" s="4" t="inlineStr">
        <is>
          <t>Функция квадрата</t>
        </is>
      </c>
      <c r="C29" s="5">
        <f>LAMBDA(x,x^2)(5)</f>
        <v/>
      </c>
      <c r="D29" s="6" t="n">
        <v>25</v>
      </c>
      <c r="E29" s="4" t="inlineStr">
        <is>
          <t>x²</t>
        </is>
      </c>
    </row>
    <row r="30">
      <c r="A30" s="4" t="inlineStr">
        <is>
          <t>BYROW</t>
        </is>
      </c>
      <c r="B30" s="4" t="inlineStr">
        <is>
          <t>Применение по строкам</t>
        </is>
      </c>
      <c r="C30" s="5">
        <f>BYROW(F100:H102,LAMBDA(r,SUM(r)))</f>
        <v/>
      </c>
      <c r="D30" s="6" t="inlineStr">
        <is>
          <t>6; 15; 24</t>
        </is>
      </c>
      <c r="E30" s="4" t="inlineStr">
        <is>
          <t>Сумма каждой строки</t>
        </is>
      </c>
    </row>
    <row r="31">
      <c r="A31" s="4" t="inlineStr">
        <is>
          <t>BYCOL</t>
        </is>
      </c>
      <c r="B31" s="4" t="inlineStr">
        <is>
          <t>Применение по столбцам</t>
        </is>
      </c>
      <c r="C31" s="5">
        <f>BYCOL(F100:H102,LAMBDA(c,SUM(c)))</f>
        <v/>
      </c>
      <c r="D31" s="6" t="inlineStr">
        <is>
          <t>12; 15; 18</t>
        </is>
      </c>
      <c r="E31" s="4" t="inlineStr">
        <is>
          <t>Сумма каждого столбца</t>
        </is>
      </c>
    </row>
    <row r="32">
      <c r="A32" s="4" t="inlineStr">
        <is>
          <t>MAP</t>
        </is>
      </c>
      <c r="B32" s="4" t="inlineStr">
        <is>
          <t>Преобразование массива</t>
        </is>
      </c>
      <c r="C32" s="5">
        <f>MAP(F104:F106,LAMBDA(x,x*2))</f>
        <v/>
      </c>
      <c r="D32" s="6" t="inlineStr">
        <is>
          <t>2; 4; 6</t>
        </is>
      </c>
      <c r="E32" s="4" t="inlineStr">
        <is>
          <t>Умножает на 2</t>
        </is>
      </c>
    </row>
    <row r="33">
      <c r="A33" s="4" t="inlineStr">
        <is>
          <t>MAP</t>
        </is>
      </c>
      <c r="B33" s="4" t="inlineStr">
        <is>
          <t>MAP с несколькими массивами</t>
        </is>
      </c>
      <c r="C33" s="5">
        <f>MAP(F104:F106,F104:F106,LAMBDA(x,y,x+y))</f>
        <v/>
      </c>
      <c r="D33" s="6" t="inlineStr">
        <is>
          <t>2; 4; 6</t>
        </is>
      </c>
      <c r="E33" s="4" t="inlineStr">
        <is>
          <t>Сумма пар</t>
        </is>
      </c>
    </row>
    <row r="34">
      <c r="A34" s="4" t="inlineStr">
        <is>
          <t>REDUCE</t>
        </is>
      </c>
      <c r="B34" s="4" t="inlineStr">
        <is>
          <t>Накопление результата</t>
        </is>
      </c>
      <c r="C34" s="5">
        <f>REDUCE(0,F104:F106,LAMBDA(a,x,a+x))</f>
        <v/>
      </c>
      <c r="D34" s="6" t="n">
        <v>6</v>
      </c>
      <c r="E34" s="4" t="inlineStr">
        <is>
          <t>1+2+3 = 6</t>
        </is>
      </c>
    </row>
    <row r="35">
      <c r="A35" s="4" t="inlineStr">
        <is>
          <t>REDUCE</t>
        </is>
      </c>
      <c r="B35" s="4" t="inlineStr">
        <is>
          <t>REDUCE с умножением</t>
        </is>
      </c>
      <c r="C35" s="5">
        <f>REDUCE(1,F104:F106,LAMBDA(a,x,a*x))</f>
        <v/>
      </c>
      <c r="D35" s="6" t="n">
        <v>6</v>
      </c>
      <c r="E35" s="4" t="inlineStr">
        <is>
          <t>1·2·3 = 6</t>
        </is>
      </c>
    </row>
    <row r="36">
      <c r="A36" s="4" t="inlineStr">
        <is>
          <t>SCAN</t>
        </is>
      </c>
      <c r="B36" s="4" t="inlineStr">
        <is>
          <t>Промежуточные результаты</t>
        </is>
      </c>
      <c r="C36" s="5">
        <f>SCAN(0,F104:F106,LAMBDA(a,x,a+x))</f>
        <v/>
      </c>
      <c r="D36" s="6" t="inlineStr">
        <is>
          <t>1; 3; 6</t>
        </is>
      </c>
      <c r="E36" s="4" t="inlineStr">
        <is>
          <t>Накопительная сумма</t>
        </is>
      </c>
    </row>
    <row r="37">
      <c r="A37" s="4" t="inlineStr">
        <is>
          <t>SCAN</t>
        </is>
      </c>
      <c r="B37" s="4" t="inlineStr">
        <is>
          <t>SCAN с умножением</t>
        </is>
      </c>
      <c r="C37" s="5">
        <f>SCAN(1,F104:F106,LAMBDA(a,x,a*x))</f>
        <v/>
      </c>
      <c r="D37" s="6" t="inlineStr">
        <is>
          <t>1; 2; 6</t>
        </is>
      </c>
      <c r="E37" s="4" t="inlineStr">
        <is>
          <t>Накопительное произведение</t>
        </is>
      </c>
    </row>
    <row r="38">
      <c r="A38" s="4" t="inlineStr">
        <is>
          <t>MAKEARRAY</t>
        </is>
      </c>
      <c r="B38" s="4" t="inlineStr">
        <is>
          <t>Создание массива</t>
        </is>
      </c>
      <c r="C38" s="5">
        <f>MAKEARRAY(3,3,LAMBDA(r,c,r*c))</f>
        <v/>
      </c>
      <c r="D38" s="6" t="inlineStr">
        <is>
          <t>3×3</t>
        </is>
      </c>
      <c r="E38" s="4" t="inlineStr">
        <is>
          <t>Значения = r·c</t>
        </is>
      </c>
    </row>
    <row r="39">
      <c r="A39" s="4" t="inlineStr">
        <is>
          <t>MAKEARRAY</t>
        </is>
      </c>
      <c r="B39" s="4" t="inlineStr">
        <is>
          <t>Единичная матрица</t>
        </is>
      </c>
      <c r="C39" s="5">
        <f>MAKEARRAY(3,3,LAMBDA(r,c,IF(r=c,1,0)))</f>
        <v/>
      </c>
      <c r="D39" s="6" t="inlineStr">
        <is>
          <t>3×3</t>
        </is>
      </c>
      <c r="E39" s="4" t="inlineStr">
        <is>
          <t>Единичная матрица</t>
        </is>
      </c>
    </row>
    <row r="40">
      <c r="A40" s="4" t="inlineStr">
        <is>
          <t>ISOMITTED</t>
        </is>
      </c>
      <c r="B40" s="4" t="inlineStr">
        <is>
          <t>Проверка аргумента</t>
        </is>
      </c>
      <c r="C40" s="5">
        <f>LAMBDA(x,IF(ISOMITTED(x),0,x))()</f>
        <v/>
      </c>
      <c r="D40" s="6" t="n">
        <v>0</v>
      </c>
      <c r="E40" s="4" t="inlineStr">
        <is>
          <t>Аргумент пропущен</t>
        </is>
      </c>
    </row>
    <row r="41">
      <c r="A41" s="4" t="inlineStr">
        <is>
          <t>ISOMITTED</t>
        </is>
      </c>
      <c r="B41" s="4" t="inlineStr">
        <is>
          <t>С аргументом</t>
        </is>
      </c>
      <c r="C41" s="5">
        <f>LAMBDA(x,IF(ISOMITTED(x),0,x))(5)</f>
        <v/>
      </c>
      <c r="D41" s="6" t="n">
        <v>5</v>
      </c>
      <c r="E41" s="4" t="inlineStr">
        <is>
          <t>Аргумент передан</t>
        </is>
      </c>
    </row>
    <row r="42">
      <c r="A42" s="4" t="inlineStr">
        <is>
          <t>TEXTSPLIT</t>
        </is>
      </c>
      <c r="B42" s="4" t="inlineStr">
        <is>
          <t>Разделение по запятой</t>
        </is>
      </c>
      <c r="C42" s="5">
        <f>TEXTSPLIT("a,b,c",",")</f>
        <v/>
      </c>
      <c r="D42" s="6" t="inlineStr">
        <is>
          <t>3 столбца</t>
        </is>
      </c>
      <c r="E42" s="4" t="inlineStr">
        <is>
          <t>a, b, c</t>
        </is>
      </c>
    </row>
    <row r="43">
      <c r="A43" s="4" t="inlineStr">
        <is>
          <t>TEXTSPLIT</t>
        </is>
      </c>
      <c r="B43" s="4" t="inlineStr">
        <is>
          <t>Разделение по строкам</t>
        </is>
      </c>
      <c r="C43" s="5">
        <f>TEXTSPLIT("a;b;c",";",,TRUE)</f>
        <v/>
      </c>
      <c r="D43" s="6" t="inlineStr">
        <is>
          <t>3 строки</t>
        </is>
      </c>
      <c r="E43" s="4" t="inlineStr">
        <is>
          <t>По строкам</t>
        </is>
      </c>
    </row>
    <row r="44">
      <c r="A44" s="4" t="inlineStr">
        <is>
          <t>TEXTJOIN</t>
        </is>
      </c>
      <c r="B44" s="4" t="inlineStr">
        <is>
          <t>Объединение массива</t>
        </is>
      </c>
      <c r="C44" s="5">
        <f>TEXTJOIN(", ",TRUE,A101:A103)</f>
        <v/>
      </c>
      <c r="D44" s="6" t="inlineStr">
        <is>
          <t>Иванов, Петров, Сидоров</t>
        </is>
      </c>
      <c r="E44" s="4" t="inlineStr">
        <is>
          <t>Объединяет массив</t>
        </is>
      </c>
    </row>
    <row r="45">
      <c r="A45" s="4" t="inlineStr">
        <is>
          <t>TEXTJOIN</t>
        </is>
      </c>
      <c r="B45" s="4" t="inlineStr">
        <is>
          <t>С пустыми</t>
        </is>
      </c>
      <c r="C45" s="5">
        <f>TEXTJOIN("-",FALSE,A101:A103)</f>
        <v/>
      </c>
      <c r="D45" s="6" t="inlineStr">
        <is>
          <t>Иванов-Петров-Сидоров</t>
        </is>
      </c>
      <c r="E45" s="4" t="inlineStr">
        <is>
          <t>FALSE = включая пустые</t>
        </is>
      </c>
    </row>
    <row r="46">
      <c r="A46" s="4" t="inlineStr">
        <is>
          <t>TOCOL</t>
        </is>
      </c>
      <c r="B46" s="4" t="inlineStr">
        <is>
          <t>В столбец</t>
        </is>
      </c>
      <c r="C46" s="5">
        <f>TOCOL(F100:H102)</f>
        <v/>
      </c>
      <c r="D46" s="6" t="inlineStr">
        <is>
          <t>9×1</t>
        </is>
      </c>
      <c r="E46" s="4" t="inlineStr">
        <is>
          <t>Превращает в столбец</t>
        </is>
      </c>
    </row>
    <row r="47">
      <c r="A47" s="4" t="inlineStr">
        <is>
          <t>TOROW</t>
        </is>
      </c>
      <c r="B47" s="4" t="inlineStr">
        <is>
          <t>В строку</t>
        </is>
      </c>
      <c r="C47" s="5">
        <f>TOROW(F100:H102)</f>
        <v/>
      </c>
      <c r="D47" s="6" t="inlineStr">
        <is>
          <t>1×9</t>
        </is>
      </c>
      <c r="E47" s="4" t="inlineStr">
        <is>
          <t>Превращает в строку</t>
        </is>
      </c>
    </row>
    <row r="48">
      <c r="A48" s="4" t="inlineStr">
        <is>
          <t>WRAPROWS</t>
        </is>
      </c>
      <c r="B48" s="4" t="inlineStr">
        <is>
          <t>В строки по N</t>
        </is>
      </c>
      <c r="C48" s="5">
        <f>WRAPROWS(F104:F106,2)</f>
        <v/>
      </c>
      <c r="D48" s="6" t="inlineStr">
        <is>
          <t>2 столбца</t>
        </is>
      </c>
      <c r="E48" s="4" t="inlineStr">
        <is>
          <t>1,2 | 3,пусто</t>
        </is>
      </c>
    </row>
    <row r="49">
      <c r="A49" s="4" t="inlineStr">
        <is>
          <t>WRAPCOLS</t>
        </is>
      </c>
      <c r="B49" s="4" t="inlineStr">
        <is>
          <t>В столбцы по N</t>
        </is>
      </c>
      <c r="C49" s="5">
        <f>WRAPCOLS(F104:F106,2)</f>
        <v/>
      </c>
      <c r="D49" s="6" t="inlineStr">
        <is>
          <t>2 строки</t>
        </is>
      </c>
      <c r="E49" s="4" t="inlineStr">
        <is>
          <t>1,2 | 3,пусто</t>
        </is>
      </c>
    </row>
    <row r="50">
      <c r="A50" s="4" t="inlineStr">
        <is>
          <t>CHOOSEROWS</t>
        </is>
      </c>
      <c r="B50" s="4" t="inlineStr">
        <is>
          <t>Выбор строк</t>
        </is>
      </c>
      <c r="C50" s="5">
        <f>CHOOSEROWS(A101:D106,1,3,5)</f>
        <v/>
      </c>
      <c r="D50" s="6" t="inlineStr">
        <is>
          <t>3 строки</t>
        </is>
      </c>
      <c r="E50" s="4" t="inlineStr">
        <is>
          <t>Строки 1,3,5</t>
        </is>
      </c>
    </row>
    <row r="51">
      <c r="A51" s="4" t="inlineStr">
        <is>
          <t>CHOOSECOLS</t>
        </is>
      </c>
      <c r="B51" s="4" t="inlineStr">
        <is>
          <t>Выбор столбцов</t>
        </is>
      </c>
      <c r="C51" s="5">
        <f>CHOOSECOLS(A101:D106,1,3)</f>
        <v/>
      </c>
      <c r="D51" s="6" t="inlineStr">
        <is>
          <t>6×2</t>
        </is>
      </c>
      <c r="E51" s="4" t="inlineStr">
        <is>
          <t>Столбцы 1 и 3</t>
        </is>
      </c>
    </row>
    <row r="52">
      <c r="A52" s="4" t="inlineStr">
        <is>
          <t>DROP</t>
        </is>
      </c>
      <c r="B52" s="4" t="inlineStr">
        <is>
          <t>Удаление строк/столбцов</t>
        </is>
      </c>
      <c r="C52" s="5">
        <f>DROP(A101:D106,2,1)</f>
        <v/>
      </c>
      <c r="D52" s="6" t="inlineStr">
        <is>
          <t>4×3</t>
        </is>
      </c>
      <c r="E52" s="4" t="inlineStr">
        <is>
          <t>Убрать 2 строки, 1 столбец</t>
        </is>
      </c>
    </row>
    <row r="53">
      <c r="A53" s="4" t="inlineStr">
        <is>
          <t>TAKE</t>
        </is>
      </c>
      <c r="B53" s="4" t="inlineStr">
        <is>
          <t>Взятие строк/столбцов</t>
        </is>
      </c>
      <c r="C53" s="5">
        <f>TAKE(A101:D106,3,2)</f>
        <v/>
      </c>
      <c r="D53" s="6" t="inlineStr">
        <is>
          <t>3×2</t>
        </is>
      </c>
      <c r="E53" s="4" t="inlineStr">
        <is>
          <t>Первые 3 строки, 2 столбца</t>
        </is>
      </c>
    </row>
    <row r="54">
      <c r="A54" s="4" t="inlineStr">
        <is>
          <t>EXPAND</t>
        </is>
      </c>
      <c r="B54" s="4" t="inlineStr">
        <is>
          <t>Расширение массива</t>
        </is>
      </c>
      <c r="C54" s="5">
        <f>EXPAND(F100:G101,3,3,"—")</f>
        <v/>
      </c>
      <c r="D54" s="6" t="inlineStr">
        <is>
          <t>3×3</t>
        </is>
      </c>
      <c r="E54" s="4" t="inlineStr">
        <is>
          <t>До 3×3 с заполнителем</t>
        </is>
      </c>
    </row>
    <row r="55">
      <c r="A55" s="4" t="inlineStr">
        <is>
          <t>HSTACK</t>
        </is>
      </c>
      <c r="B55" s="4" t="inlineStr">
        <is>
          <t>Горизонтальное слияние</t>
        </is>
      </c>
      <c r="C55" s="5">
        <f>HSTACK(A101:A103,C101:C103)</f>
        <v/>
      </c>
      <c r="D55" s="6" t="inlineStr">
        <is>
          <t>3×2</t>
        </is>
      </c>
      <c r="E55" s="4" t="inlineStr">
        <is>
          <t>Объединение по горизонтали</t>
        </is>
      </c>
    </row>
    <row r="56">
      <c r="A56" s="4" t="inlineStr">
        <is>
          <t>VSTACK</t>
        </is>
      </c>
      <c r="B56" s="4" t="inlineStr">
        <is>
          <t>Вертикальное слияние</t>
        </is>
      </c>
      <c r="C56" s="5">
        <f>VSTACK(A101:A103,A104:A106)</f>
        <v/>
      </c>
      <c r="D56" s="6" t="inlineStr">
        <is>
          <t>6×1</t>
        </is>
      </c>
      <c r="E56" s="4" t="inlineStr">
        <is>
          <t>Объединение по вертикали</t>
        </is>
      </c>
    </row>
    <row r="57">
      <c r="A57" s="4" t="inlineStr">
        <is>
          <t>VSTACK</t>
        </is>
      </c>
      <c r="B57" s="4" t="inlineStr">
        <is>
          <t>С разными столбцами</t>
        </is>
      </c>
      <c r="C57" s="5">
        <f>VSTACK(A101:B102,C101:D102)</f>
        <v/>
      </c>
      <c r="D57" s="6" t="inlineStr">
        <is>
          <t>2×4</t>
        </is>
      </c>
      <c r="E57" s="4" t="inlineStr">
        <is>
          <t>Объединение таблиц</t>
        </is>
      </c>
    </row>
    <row r="100">
      <c r="A100" s="8" t="inlineStr">
        <is>
          <t>Фамилия</t>
        </is>
      </c>
      <c r="B100" s="8" t="inlineStr">
        <is>
          <t>Имя</t>
        </is>
      </c>
      <c r="C100" s="8" t="inlineStr">
        <is>
          <t>Зарплата</t>
        </is>
      </c>
      <c r="D100" s="8" t="inlineStr">
        <is>
          <t>Отдел</t>
        </is>
      </c>
      <c r="F100" s="2" t="n">
        <v>1</v>
      </c>
      <c r="G100" s="2" t="n">
        <v>2</v>
      </c>
      <c r="H100" s="2" t="n">
        <v>3</v>
      </c>
    </row>
    <row r="101">
      <c r="A101" s="2" t="inlineStr">
        <is>
          <t>Иванов</t>
        </is>
      </c>
      <c r="B101" s="2" t="inlineStr">
        <is>
          <t>Иван</t>
        </is>
      </c>
      <c r="C101" s="2" t="n">
        <v>50000</v>
      </c>
      <c r="D101" s="2" t="inlineStr">
        <is>
          <t>IT</t>
        </is>
      </c>
      <c r="F101" s="2" t="n">
        <v>4</v>
      </c>
      <c r="G101" s="2" t="n">
        <v>5</v>
      </c>
      <c r="H101" s="2" t="n">
        <v>6</v>
      </c>
    </row>
    <row r="102">
      <c r="A102" s="2" t="inlineStr">
        <is>
          <t>Петров</t>
        </is>
      </c>
      <c r="B102" s="2" t="inlineStr">
        <is>
          <t>Пётр</t>
        </is>
      </c>
      <c r="C102" s="2" t="n">
        <v>60000</v>
      </c>
      <c r="D102" s="2" t="inlineStr">
        <is>
          <t>Бухгалтерия</t>
        </is>
      </c>
      <c r="F102" s="2" t="n">
        <v>7</v>
      </c>
      <c r="G102" s="2" t="n">
        <v>8</v>
      </c>
      <c r="H102" s="2" t="n">
        <v>9</v>
      </c>
    </row>
    <row r="103">
      <c r="A103" s="2" t="inlineStr">
        <is>
          <t>Сидоров</t>
        </is>
      </c>
      <c r="B103" s="2" t="inlineStr">
        <is>
          <t>Сидор</t>
        </is>
      </c>
      <c r="C103" s="2" t="n">
        <v>55000</v>
      </c>
      <c r="D103" s="2" t="inlineStr">
        <is>
          <t>HR</t>
        </is>
      </c>
    </row>
    <row r="104">
      <c r="A104" s="2" t="inlineStr">
        <is>
          <t>Кузнецов</t>
        </is>
      </c>
      <c r="B104" s="2" t="inlineStr">
        <is>
          <t>Алексей</t>
        </is>
      </c>
      <c r="C104" s="2" t="n">
        <v>70000</v>
      </c>
      <c r="D104" s="2" t="inlineStr">
        <is>
          <t>IT</t>
        </is>
      </c>
      <c r="F104" s="2" t="n">
        <v>1</v>
      </c>
    </row>
    <row r="105">
      <c r="A105" s="2" t="inlineStr">
        <is>
          <t>Смирнов</t>
        </is>
      </c>
      <c r="B105" s="2" t="inlineStr">
        <is>
          <t>Дмитрий</t>
        </is>
      </c>
      <c r="C105" s="2" t="n">
        <v>45000</v>
      </c>
      <c r="D105" s="2" t="inlineStr">
        <is>
          <t>Продажи</t>
        </is>
      </c>
      <c r="F105" s="2" t="n">
        <v>2</v>
      </c>
    </row>
    <row r="106">
      <c r="A106" s="2" t="inlineStr">
        <is>
          <t>Попов</t>
        </is>
      </c>
      <c r="B106" s="2" t="inlineStr">
        <is>
          <t>Андрей</t>
        </is>
      </c>
      <c r="C106" s="2" t="n">
        <v>65000</v>
      </c>
      <c r="D106" s="2" t="inlineStr">
        <is>
          <t>HR</t>
        </is>
      </c>
      <c r="F106" s="2" t="n">
        <v>3</v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52" customWidth="1" min="3" max="3"/>
    <col width="22" customWidth="1" min="4" max="4"/>
    <col width="45" customWidth="1" min="5" max="5"/>
  </cols>
  <sheetData>
    <row r="1">
      <c r="A1" s="1" t="inlineStr">
        <is>
          <t>ФУНКЦИИ СОВМЕСТИМОСТИ (УСТАРЕВШИЕ)</t>
        </is>
      </c>
      <c r="B1" s="2" t="n"/>
      <c r="C1" s="2" t="n"/>
      <c r="D1" s="2" t="n"/>
      <c r="E1" s="2" t="n"/>
    </row>
    <row r="2">
      <c r="A2" s="3" t="inlineStr">
        <is>
          <t>Функция</t>
        </is>
      </c>
      <c r="B2" s="3" t="inlineStr">
        <is>
          <t>Описание</t>
        </is>
      </c>
      <c r="C2" s="3" t="inlineStr">
        <is>
          <t>Формула</t>
        </is>
      </c>
      <c r="D2" s="3" t="inlineStr">
        <is>
          <t>Результат</t>
        </is>
      </c>
      <c r="E2" s="3" t="inlineStr">
        <is>
          <t>Примечания</t>
        </is>
      </c>
    </row>
    <row r="3">
      <c r="A3" s="4" t="inlineStr">
        <is>
          <t>BETADIST</t>
        </is>
      </c>
      <c r="B3" s="4" t="inlineStr">
        <is>
          <t>Бета-распределение (устар.)</t>
        </is>
      </c>
      <c r="C3" s="5">
        <f>BETADIST(0.5,2,3)</f>
        <v/>
      </c>
      <c r="D3" s="6" t="n">
        <v>0.6899999999999999</v>
      </c>
      <c r="E3" s="4" t="inlineStr">
        <is>
          <t>Используйте BETA.DIST</t>
        </is>
      </c>
    </row>
    <row r="4">
      <c r="A4" s="4" t="inlineStr">
        <is>
          <t>BETAINV</t>
        </is>
      </c>
      <c r="B4" s="4" t="inlineStr">
        <is>
          <t>Обратное бета (устар.)</t>
        </is>
      </c>
      <c r="C4" s="5">
        <f>BETAINV(0.69,2,3)</f>
        <v/>
      </c>
      <c r="D4" s="6" t="n">
        <v>0.5</v>
      </c>
      <c r="E4" s="4" t="inlineStr">
        <is>
          <t>Используйте BETA.INV</t>
        </is>
      </c>
    </row>
    <row r="5">
      <c r="A5" s="4" t="inlineStr">
        <is>
          <t>BINOMDIST</t>
        </is>
      </c>
      <c r="B5" s="4" t="inlineStr">
        <is>
          <t>Биномиальное (устар.)</t>
        </is>
      </c>
      <c r="C5" s="5">
        <f>BINOMDIST(2,5,0.5,FALSE)</f>
        <v/>
      </c>
      <c r="D5" s="6" t="n">
        <v>0.31</v>
      </c>
      <c r="E5" s="4" t="inlineStr">
        <is>
          <t>Используйте BINOM.DIST</t>
        </is>
      </c>
    </row>
    <row r="6">
      <c r="A6" s="4" t="inlineStr">
        <is>
          <t>CHIDIST</t>
        </is>
      </c>
      <c r="B6" s="4" t="inlineStr">
        <is>
          <t>Хи-квадрат (устар.)</t>
        </is>
      </c>
      <c r="C6" s="5">
        <f>CHIDIST(3,2)</f>
        <v/>
      </c>
      <c r="D6" s="6" t="n">
        <v>0.22</v>
      </c>
      <c r="E6" s="4" t="inlineStr">
        <is>
          <t>Используйте CHISQ.DIST.RT</t>
        </is>
      </c>
    </row>
    <row r="7">
      <c r="A7" s="4" t="inlineStr">
        <is>
          <t>CHIINV</t>
        </is>
      </c>
      <c r="B7" s="4" t="inlineStr">
        <is>
          <t>Обратное хи-квадрат (устар.)</t>
        </is>
      </c>
      <c r="C7" s="5">
        <f>CHIINV(0.22,2)</f>
        <v/>
      </c>
      <c r="D7" s="6" t="n">
        <v>3</v>
      </c>
      <c r="E7" s="4" t="inlineStr">
        <is>
          <t>Используйте CHISQ.INV.RT</t>
        </is>
      </c>
    </row>
    <row r="8">
      <c r="A8" s="4" t="inlineStr">
        <is>
          <t>CONFIDENCE</t>
        </is>
      </c>
      <c r="B8" s="4" t="inlineStr">
        <is>
          <t>Доверительный интервал (устар.)</t>
        </is>
      </c>
      <c r="C8" s="5">
        <f>CONFIDENCE(0.05,10,100)</f>
        <v/>
      </c>
      <c r="D8" s="6" t="n">
        <v>1.96</v>
      </c>
      <c r="E8" s="4" t="inlineStr">
        <is>
          <t>Используйте CONFIDENCE.NORM</t>
        </is>
      </c>
    </row>
    <row r="9">
      <c r="A9" s="4" t="inlineStr">
        <is>
          <t>COVAR</t>
        </is>
      </c>
      <c r="B9" s="4" t="inlineStr">
        <is>
          <t>Ковариация (устар.)</t>
        </is>
      </c>
      <c r="C9" s="5">
        <f>COVAR(A100:A104,C100:C104)</f>
        <v/>
      </c>
      <c r="D9" s="6" t="n">
        <v>200</v>
      </c>
      <c r="E9" s="4" t="inlineStr">
        <is>
          <t>Используйте COVARIANCE.P</t>
        </is>
      </c>
    </row>
    <row r="10">
      <c r="A10" s="4" t="inlineStr">
        <is>
          <t>CRITBINOM</t>
        </is>
      </c>
      <c r="B10" s="4" t="inlineStr">
        <is>
          <t>Критерий биномиального (устар.)</t>
        </is>
      </c>
      <c r="C10" s="5">
        <f>CRITBINOM(5,0.5,0.31)</f>
        <v/>
      </c>
      <c r="D10" s="6" t="n">
        <v>2</v>
      </c>
      <c r="E10" s="4" t="inlineStr">
        <is>
          <t>Используйте BINOM.INV</t>
        </is>
      </c>
    </row>
    <row r="11">
      <c r="A11" s="4" t="inlineStr">
        <is>
          <t>EXPONDIST</t>
        </is>
      </c>
      <c r="B11" s="4" t="inlineStr">
        <is>
          <t>Экспоненциальное (устар.)</t>
        </is>
      </c>
      <c r="C11" s="5">
        <f>EXPONDIST(1,1,TRUE)</f>
        <v/>
      </c>
      <c r="D11" s="6" t="n">
        <v>0.63</v>
      </c>
      <c r="E11" s="4" t="inlineStr">
        <is>
          <t>Используйте EXPON.DIST</t>
        </is>
      </c>
    </row>
    <row r="12">
      <c r="A12" s="4" t="inlineStr">
        <is>
          <t>FDIST</t>
        </is>
      </c>
      <c r="B12" s="4" t="inlineStr">
        <is>
          <t>F-распределение (устар.)</t>
        </is>
      </c>
      <c r="C12" s="5">
        <f>FDIST(1,2,3)</f>
        <v/>
      </c>
      <c r="D12" s="6" t="n">
        <v>0.39</v>
      </c>
      <c r="E12" s="4" t="inlineStr">
        <is>
          <t>Используйте F.DIST.RT</t>
        </is>
      </c>
    </row>
    <row r="13">
      <c r="A13" s="4" t="inlineStr">
        <is>
          <t>FINV</t>
        </is>
      </c>
      <c r="B13" s="4" t="inlineStr">
        <is>
          <t>Обратное F (устар.)</t>
        </is>
      </c>
      <c r="C13" s="5">
        <f>FINV(0.39,2,3)</f>
        <v/>
      </c>
      <c r="D13" s="6" t="n">
        <v>1</v>
      </c>
      <c r="E13" s="4" t="inlineStr">
        <is>
          <t>Используйте F.INV.RT</t>
        </is>
      </c>
    </row>
    <row r="14">
      <c r="A14" s="4" t="inlineStr">
        <is>
          <t>FTEST</t>
        </is>
      </c>
      <c r="B14" s="4" t="inlineStr">
        <is>
          <t>F-тест (устар.)</t>
        </is>
      </c>
      <c r="C14" s="5">
        <f>FTEST(A100:A104,C100:C104)</f>
        <v/>
      </c>
      <c r="D14" s="6" t="n">
        <v>0.04</v>
      </c>
      <c r="E14" s="4" t="inlineStr">
        <is>
          <t>Используйте F.TEST</t>
        </is>
      </c>
    </row>
    <row r="15">
      <c r="A15" s="4" t="inlineStr">
        <is>
          <t>GAMMADIST</t>
        </is>
      </c>
      <c r="B15" s="4" t="inlineStr">
        <is>
          <t>Гамма-распределение (устар.)</t>
        </is>
      </c>
      <c r="C15" s="5">
        <f>GAMMADIST(2,2,1,TRUE)</f>
        <v/>
      </c>
      <c r="D15" s="6" t="n">
        <v>0.59</v>
      </c>
      <c r="E15" s="4" t="inlineStr">
        <is>
          <t>Используйте GAMMA.DIST</t>
        </is>
      </c>
    </row>
    <row r="16">
      <c r="A16" s="4" t="inlineStr">
        <is>
          <t>GAMMAINV</t>
        </is>
      </c>
      <c r="B16" s="4" t="inlineStr">
        <is>
          <t>Обратное гамма (устар.)</t>
        </is>
      </c>
      <c r="C16" s="5">
        <f>GAMMAINV(0.59,2,1)</f>
        <v/>
      </c>
      <c r="D16" s="6" t="n">
        <v>2</v>
      </c>
      <c r="E16" s="4" t="inlineStr">
        <is>
          <t>Используйте GAMMA.INV</t>
        </is>
      </c>
    </row>
    <row r="17">
      <c r="A17" s="4" t="inlineStr">
        <is>
          <t>HYPGEOMDIST</t>
        </is>
      </c>
      <c r="B17" s="4" t="inlineStr">
        <is>
          <t>Гипергеометрическое (устар.)</t>
        </is>
      </c>
      <c r="C17" s="5">
        <f>HYPGEOMDIST(1,2,3,10)</f>
        <v/>
      </c>
      <c r="D17" s="6" t="n">
        <v>0.47</v>
      </c>
      <c r="E17" s="4" t="inlineStr">
        <is>
          <t>Используйте HYPGEOM.DIST</t>
        </is>
      </c>
    </row>
    <row r="18">
      <c r="A18" s="4" t="inlineStr">
        <is>
          <t>LOGINV</t>
        </is>
      </c>
      <c r="B18" s="4" t="inlineStr">
        <is>
          <t>Обратное логнормальное (устар.)</t>
        </is>
      </c>
      <c r="C18" s="5">
        <f>LOGINV(0.76,0,1)</f>
        <v/>
      </c>
      <c r="D18" s="6" t="n">
        <v>2</v>
      </c>
      <c r="E18" s="4" t="inlineStr">
        <is>
          <t>Используйте LOGNORM.INV</t>
        </is>
      </c>
    </row>
    <row r="19">
      <c r="A19" s="4" t="inlineStr">
        <is>
          <t>LOGNORMDIST</t>
        </is>
      </c>
      <c r="B19" s="4" t="inlineStr">
        <is>
          <t>Логнормальное (устар.)</t>
        </is>
      </c>
      <c r="C19" s="5">
        <f>LOGNORMDIST(2,0,1)</f>
        <v/>
      </c>
      <c r="D19" s="6" t="n">
        <v>0.76</v>
      </c>
      <c r="E19" s="4" t="inlineStr">
        <is>
          <t>Используйте LOGNORM.DIST</t>
        </is>
      </c>
    </row>
    <row r="20">
      <c r="A20" s="4" t="inlineStr">
        <is>
          <t>MODE</t>
        </is>
      </c>
      <c r="B20" s="4" t="inlineStr">
        <is>
          <t>Мода (устар.)</t>
        </is>
      </c>
      <c r="C20" s="5">
        <f>MODE(10,20,20,30,40)</f>
        <v/>
      </c>
      <c r="D20" s="6" t="n">
        <v>20</v>
      </c>
      <c r="E20" s="4" t="inlineStr">
        <is>
          <t>Используйте MODE.SNGL</t>
        </is>
      </c>
    </row>
    <row r="21">
      <c r="A21" s="4" t="inlineStr">
        <is>
          <t>NEGBINOMDIST</t>
        </is>
      </c>
      <c r="B21" s="4" t="inlineStr">
        <is>
          <t>Отрицательное биномиальное (устар.)</t>
        </is>
      </c>
      <c r="C21" s="5">
        <f>NEGBINOMDIST(1,2,0.5)</f>
        <v/>
      </c>
      <c r="D21" s="6" t="n">
        <v>0.25</v>
      </c>
      <c r="E21" s="4" t="inlineStr">
        <is>
          <t>Используйте NEGBINOM.DIST</t>
        </is>
      </c>
    </row>
    <row r="22">
      <c r="A22" s="4" t="inlineStr">
        <is>
          <t>NORMDIST</t>
        </is>
      </c>
      <c r="B22" s="4" t="inlineStr">
        <is>
          <t>Нормальное (устар.)</t>
        </is>
      </c>
      <c r="C22" s="5">
        <f>NORMDIST(0,0,1,TRUE)</f>
        <v/>
      </c>
      <c r="D22" s="6" t="n">
        <v>0.5</v>
      </c>
      <c r="E22" s="4" t="inlineStr">
        <is>
          <t>Используйте NORM.DIST</t>
        </is>
      </c>
    </row>
    <row r="23">
      <c r="A23" s="4" t="inlineStr">
        <is>
          <t>NORMINV</t>
        </is>
      </c>
      <c r="B23" s="4" t="inlineStr">
        <is>
          <t>Обратное нормальное (устар.)</t>
        </is>
      </c>
      <c r="C23" s="5">
        <f>NORMINV(0.5,0,1)</f>
        <v/>
      </c>
      <c r="D23" s="6" t="n">
        <v>0</v>
      </c>
      <c r="E23" s="4" t="inlineStr">
        <is>
          <t>Используйте NORM.INV</t>
        </is>
      </c>
    </row>
    <row r="24">
      <c r="A24" s="4" t="inlineStr">
        <is>
          <t>NORMSDIST</t>
        </is>
      </c>
      <c r="B24" s="4" t="inlineStr">
        <is>
          <t>Стандартное нормальное (устар.)</t>
        </is>
      </c>
      <c r="C24" s="5">
        <f>NORMSDIST(0)</f>
        <v/>
      </c>
      <c r="D24" s="6" t="n">
        <v>0.5</v>
      </c>
      <c r="E24" s="4" t="inlineStr">
        <is>
          <t>Используйте NORM.S.DIST</t>
        </is>
      </c>
    </row>
    <row r="25">
      <c r="A25" s="4" t="inlineStr">
        <is>
          <t>NORMSINV</t>
        </is>
      </c>
      <c r="B25" s="4" t="inlineStr">
        <is>
          <t>Обратное стандартное (устар.)</t>
        </is>
      </c>
      <c r="C25" s="5">
        <f>NORMSINV(0.5)</f>
        <v/>
      </c>
      <c r="D25" s="6" t="n">
        <v>0</v>
      </c>
      <c r="E25" s="4" t="inlineStr">
        <is>
          <t>Используйте NORM.S.INV</t>
        </is>
      </c>
    </row>
    <row r="26">
      <c r="A26" s="4" t="inlineStr">
        <is>
          <t>PERCENTILE</t>
        </is>
      </c>
      <c r="B26" s="4" t="inlineStr">
        <is>
          <t>Перцентиль (устар.)</t>
        </is>
      </c>
      <c r="C26" s="5">
        <f>PERCENTILE(A100:A104,0.5)</f>
        <v/>
      </c>
      <c r="D26" s="6" t="n">
        <v>30</v>
      </c>
      <c r="E26" s="4" t="inlineStr">
        <is>
          <t>Используйте PERCENTILE.INC</t>
        </is>
      </c>
    </row>
    <row r="27">
      <c r="A27" s="4" t="inlineStr">
        <is>
          <t>PERCENTRANK</t>
        </is>
      </c>
      <c r="B27" s="4" t="inlineStr">
        <is>
          <t>Процентный ранг (устар.)</t>
        </is>
      </c>
      <c r="C27" s="5">
        <f>PERCENTRANK(A100:A104,30)</f>
        <v/>
      </c>
      <c r="D27" s="6" t="n">
        <v>0.5</v>
      </c>
      <c r="E27" s="4" t="inlineStr">
        <is>
          <t>Используйте PERCENTRANK.INC</t>
        </is>
      </c>
    </row>
    <row r="28">
      <c r="A28" s="4" t="inlineStr">
        <is>
          <t>POISSON</t>
        </is>
      </c>
      <c r="B28" s="4" t="inlineStr">
        <is>
          <t>Пуассон (устар.)</t>
        </is>
      </c>
      <c r="C28" s="5">
        <f>POISSON(2,3,FALSE)</f>
        <v/>
      </c>
      <c r="D28" s="6" t="n">
        <v>0.22</v>
      </c>
      <c r="E28" s="4" t="inlineStr">
        <is>
          <t>Используйте POISSON.DIST</t>
        </is>
      </c>
    </row>
    <row r="29">
      <c r="A29" s="4" t="inlineStr">
        <is>
          <t>QUARTILE</t>
        </is>
      </c>
      <c r="B29" s="4" t="inlineStr">
        <is>
          <t>Квартиль (устар.)</t>
        </is>
      </c>
      <c r="C29" s="5">
        <f>QUARTILE(A100:A104,2)</f>
        <v/>
      </c>
      <c r="D29" s="6" t="n">
        <v>30</v>
      </c>
      <c r="E29" s="4" t="inlineStr">
        <is>
          <t>Используйте QUARTILE.INC</t>
        </is>
      </c>
    </row>
    <row r="30">
      <c r="A30" s="4" t="inlineStr">
        <is>
          <t>RANK</t>
        </is>
      </c>
      <c r="B30" s="4" t="inlineStr">
        <is>
          <t>Ранг (устар.)</t>
        </is>
      </c>
      <c r="C30" s="5">
        <f>RANK(30,A100:A104)</f>
        <v/>
      </c>
      <c r="D30" s="6" t="n">
        <v>3</v>
      </c>
      <c r="E30" s="4" t="inlineStr">
        <is>
          <t>Используйте RANK.EQ</t>
        </is>
      </c>
    </row>
    <row r="31">
      <c r="A31" s="4" t="inlineStr">
        <is>
          <t>STDEV</t>
        </is>
      </c>
      <c r="B31" s="4" t="inlineStr">
        <is>
          <t>Станд. отклонение (устар.)</t>
        </is>
      </c>
      <c r="C31" s="5">
        <f>STDEV(A100:A104)</f>
        <v/>
      </c>
      <c r="D31" s="6" t="n">
        <v>15.81</v>
      </c>
      <c r="E31" s="4" t="inlineStr">
        <is>
          <t>Используйте STDEV.S</t>
        </is>
      </c>
    </row>
    <row r="32">
      <c r="A32" s="4" t="inlineStr">
        <is>
          <t>STDEVP</t>
        </is>
      </c>
      <c r="B32" s="4" t="inlineStr">
        <is>
          <t>Станд. отклонение (генерал., устар.)</t>
        </is>
      </c>
      <c r="C32" s="5">
        <f>STDEVP(A100:A104)</f>
        <v/>
      </c>
      <c r="D32" s="6" t="n">
        <v>14.14</v>
      </c>
      <c r="E32" s="4" t="inlineStr">
        <is>
          <t>Используйте STDEV.P</t>
        </is>
      </c>
    </row>
    <row r="33">
      <c r="A33" s="4" t="inlineStr">
        <is>
          <t>TDIST</t>
        </is>
      </c>
      <c r="B33" s="4" t="inlineStr">
        <is>
          <t>t-распределение (устар.)</t>
        </is>
      </c>
      <c r="C33" s="5">
        <f>TDIST(0,5,2)</f>
        <v/>
      </c>
      <c r="D33" s="6" t="n">
        <v>1</v>
      </c>
      <c r="E33" s="4" t="inlineStr">
        <is>
          <t>Используйте T.DIST.2T</t>
        </is>
      </c>
    </row>
    <row r="34">
      <c r="A34" s="4" t="inlineStr">
        <is>
          <t>TINV</t>
        </is>
      </c>
      <c r="B34" s="4" t="inlineStr">
        <is>
          <t>Обратное t (устар.)</t>
        </is>
      </c>
      <c r="C34" s="5">
        <f>TINV(0.5,5)</f>
        <v/>
      </c>
      <c r="D34" s="6" t="n">
        <v>0.73</v>
      </c>
      <c r="E34" s="4" t="inlineStr">
        <is>
          <t>Используйте T.INV.2T</t>
        </is>
      </c>
    </row>
    <row r="35">
      <c r="A35" s="4" t="inlineStr">
        <is>
          <t>TTEST</t>
        </is>
      </c>
      <c r="B35" s="4" t="inlineStr">
        <is>
          <t>t-тест (устар.)</t>
        </is>
      </c>
      <c r="C35" s="5">
        <f>TTEST(A100:A104,C100:C104,2,1)</f>
        <v/>
      </c>
      <c r="D35" s="6" t="n">
        <v>0.08</v>
      </c>
      <c r="E35" s="4" t="inlineStr">
        <is>
          <t>Используйте T.TEST</t>
        </is>
      </c>
    </row>
    <row r="36">
      <c r="A36" s="4" t="inlineStr">
        <is>
          <t>VAR</t>
        </is>
      </c>
      <c r="B36" s="4" t="inlineStr">
        <is>
          <t>Дисперсия (устар.)</t>
        </is>
      </c>
      <c r="C36" s="5">
        <f>VAR(A100:A104)</f>
        <v/>
      </c>
      <c r="D36" s="6" t="n">
        <v>250</v>
      </c>
      <c r="E36" s="4" t="inlineStr">
        <is>
          <t>Используйте VAR.S</t>
        </is>
      </c>
    </row>
    <row r="37">
      <c r="A37" s="4" t="inlineStr">
        <is>
          <t>VARP</t>
        </is>
      </c>
      <c r="B37" s="4" t="inlineStr">
        <is>
          <t>Дисперсия (генерал., устар.)</t>
        </is>
      </c>
      <c r="C37" s="5">
        <f>VARP(A100:A104)</f>
        <v/>
      </c>
      <c r="D37" s="6" t="n">
        <v>200</v>
      </c>
      <c r="E37" s="4" t="inlineStr">
        <is>
          <t>Используйте VAR.P</t>
        </is>
      </c>
    </row>
    <row r="38">
      <c r="A38" s="4" t="inlineStr">
        <is>
          <t>WEIBULL</t>
        </is>
      </c>
      <c r="B38" s="4" t="inlineStr">
        <is>
          <t>Вейбулл (устар.)</t>
        </is>
      </c>
      <c r="C38" s="5">
        <f>WEIBULL(1,2,1,TRUE)</f>
        <v/>
      </c>
      <c r="D38" s="6" t="n">
        <v>0.63</v>
      </c>
      <c r="E38" s="4" t="inlineStr">
        <is>
          <t>Используйте WEIBULL.DIST</t>
        </is>
      </c>
    </row>
    <row r="39">
      <c r="A39" s="4" t="inlineStr">
        <is>
          <t>ZTEST</t>
        </is>
      </c>
      <c r="B39" s="4" t="inlineStr">
        <is>
          <t>Z-тест (устар.)</t>
        </is>
      </c>
      <c r="C39" s="5">
        <f>ZTEST(A100:A104,30)</f>
        <v/>
      </c>
      <c r="D39" s="6" t="n">
        <v>0.5</v>
      </c>
      <c r="E39" s="4" t="inlineStr">
        <is>
          <t>Используйте Z.TEST</t>
        </is>
      </c>
    </row>
    <row r="40">
      <c r="A40" s="4" t="inlineStr">
        <is>
          <t>ADDRESS (старый)</t>
        </is>
      </c>
      <c r="B40" s="4" t="inlineStr">
        <is>
          <t>Адрес (старая форма)</t>
        </is>
      </c>
      <c r="C40" s="5">
        <f>ADDRESS(2,3)</f>
        <v/>
      </c>
      <c r="D40" s="6" t="inlineStr">
        <is>
          <t>$C$2</t>
        </is>
      </c>
      <c r="E40" s="4" t="inlineStr">
        <is>
          <t>Работает как и раньше</t>
        </is>
      </c>
    </row>
    <row r="41">
      <c r="A41" s="4" t="inlineStr">
        <is>
          <t>DATEDIF (старый)</t>
        </is>
      </c>
      <c r="B41" s="4" t="inlineStr">
        <is>
          <t>Разница дат (старая)</t>
        </is>
      </c>
      <c r="C41" s="5">
        <f>DATEDIF(DATE(2020,1,1),TODAY(),"Y")</f>
        <v/>
      </c>
      <c r="D41" s="6" t="n">
        <v>6</v>
      </c>
      <c r="E41" s="4" t="inlineStr">
        <is>
          <t>Работает как и раньше</t>
        </is>
      </c>
    </row>
    <row r="42">
      <c r="A42" s="4" t="inlineStr">
        <is>
          <t>WEEKNUM (старый)</t>
        </is>
      </c>
      <c r="B42" s="4" t="inlineStr">
        <is>
          <t>Номер недели (старый)</t>
        </is>
      </c>
      <c r="C42" s="5">
        <f>WEEKNUM(DATE(2024,6,15))</f>
        <v/>
      </c>
      <c r="D42" s="6" t="n">
        <v>24</v>
      </c>
      <c r="E42" s="4" t="inlineStr">
        <is>
          <t>Работает как и раньше</t>
        </is>
      </c>
    </row>
    <row r="43">
      <c r="A43" s="4" t="inlineStr">
        <is>
          <t>NETWORKDAYS (старый)</t>
        </is>
      </c>
      <c r="B43" s="4" t="inlineStr">
        <is>
          <t>Рабочие дни (старый)</t>
        </is>
      </c>
      <c r="C43" s="5">
        <f>NETWORKDAYS(DATE(2024,1,1),DATE(2024,6,15))</f>
        <v/>
      </c>
      <c r="D43" s="6" t="n">
        <v>119</v>
      </c>
      <c r="E43" s="4" t="inlineStr">
        <is>
          <t>Работает как и раньше</t>
        </is>
      </c>
    </row>
    <row r="44">
      <c r="A44" s="4" t="inlineStr">
        <is>
          <t>EDATE (старый)</t>
        </is>
      </c>
      <c r="B44" s="4" t="inlineStr">
        <is>
          <t>Дата + месяцы (старый)</t>
        </is>
      </c>
      <c r="C44" s="5">
        <f>EDATE(DATE(2024,6,15),3)</f>
        <v/>
      </c>
      <c r="D44" s="10" t="n">
        <v>45550</v>
      </c>
      <c r="E44" s="4" t="inlineStr">
        <is>
          <t>Работает как и раньше</t>
        </is>
      </c>
    </row>
    <row r="45">
      <c r="A45" s="4" t="inlineStr">
        <is>
          <t>EOMONTH (старый)</t>
        </is>
      </c>
      <c r="B45" s="4" t="inlineStr">
        <is>
          <t>Конец месяца (старый)</t>
        </is>
      </c>
      <c r="C45" s="5">
        <f>EOMONTH(DATE(2024,6,15),0)</f>
        <v/>
      </c>
      <c r="D45" s="10" t="n">
        <v>45473</v>
      </c>
      <c r="E45" s="4" t="inlineStr">
        <is>
          <t>Работает как и раньше</t>
        </is>
      </c>
    </row>
    <row r="46">
      <c r="A46" s="4" t="inlineStr">
        <is>
          <t>WORKDAY (старый)</t>
        </is>
      </c>
      <c r="B46" s="4" t="inlineStr">
        <is>
          <t>Раб. дни (старый)</t>
        </is>
      </c>
      <c r="C46" s="5">
        <f>WORKDAY(DATE(2024,1,1),10)</f>
        <v/>
      </c>
      <c r="D46" s="10" t="n">
        <v>45306</v>
      </c>
      <c r="E46" s="4" t="inlineStr">
        <is>
          <t>Работает как и раньше</t>
        </is>
      </c>
    </row>
    <row r="47">
      <c r="A47" s="4" t="inlineStr">
        <is>
          <t>YEARFRAC (старый)</t>
        </is>
      </c>
      <c r="B47" s="4" t="inlineStr">
        <is>
          <t>Доля года (старый)</t>
        </is>
      </c>
      <c r="C47" s="5">
        <f>YEARFRAC(DATE(2024,1,1),DATE(2024,12,31))</f>
        <v/>
      </c>
      <c r="D47" s="6" t="n">
        <v>1</v>
      </c>
      <c r="E47" s="4" t="inlineStr">
        <is>
          <t>Работает как и раньше</t>
        </is>
      </c>
    </row>
    <row r="100">
      <c r="A100" s="14" t="inlineStr">
        <is>
          <t>A100:A104</t>
        </is>
      </c>
      <c r="C100" s="14" t="inlineStr">
        <is>
          <t>C100:C104</t>
        </is>
      </c>
    </row>
    <row r="101">
      <c r="A101" s="2" t="n">
        <v>10</v>
      </c>
      <c r="C101" s="2" t="n">
        <v>2</v>
      </c>
    </row>
    <row r="102">
      <c r="A102" s="2" t="n">
        <v>20</v>
      </c>
      <c r="C102" s="2" t="n">
        <v>4</v>
      </c>
    </row>
    <row r="103">
      <c r="A103" s="2" t="n">
        <v>30</v>
      </c>
      <c r="C103" s="2" t="n">
        <v>6</v>
      </c>
    </row>
    <row r="104">
      <c r="A104" s="2" t="n">
        <v>40</v>
      </c>
      <c r="C104" s="2" t="n">
        <v>8</v>
      </c>
    </row>
    <row r="105">
      <c r="A105" s="2" t="n">
        <v>50</v>
      </c>
      <c r="C105" s="2" t="n">
        <v>10</v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52" customWidth="1" min="3" max="3"/>
    <col width="22" customWidth="1" min="4" max="4"/>
    <col width="45" customWidth="1" min="5" max="5"/>
  </cols>
  <sheetData>
    <row r="1">
      <c r="A1" s="1" t="inlineStr">
        <is>
          <t>ВЕБ-ФУНКЦИИ</t>
        </is>
      </c>
      <c r="B1" s="2" t="n"/>
      <c r="C1" s="2" t="n"/>
      <c r="D1" s="2" t="n"/>
      <c r="E1" s="2" t="n"/>
    </row>
    <row r="2">
      <c r="A2" s="3" t="inlineStr">
        <is>
          <t>Функция</t>
        </is>
      </c>
      <c r="B2" s="3" t="inlineStr">
        <is>
          <t>Описание</t>
        </is>
      </c>
      <c r="C2" s="3" t="inlineStr">
        <is>
          <t>Формула</t>
        </is>
      </c>
      <c r="D2" s="3" t="inlineStr">
        <is>
          <t>Результат</t>
        </is>
      </c>
      <c r="E2" s="3" t="inlineStr">
        <is>
          <t>Примечания</t>
        </is>
      </c>
    </row>
    <row r="3">
      <c r="A3" s="4" t="inlineStr">
        <is>
          <t>ENCODEURL</t>
        </is>
      </c>
      <c r="B3" s="4" t="inlineStr">
        <is>
          <t>Кодирование URL</t>
        </is>
      </c>
      <c r="C3" s="5">
        <f>ENCODEURL("hello world")</f>
        <v/>
      </c>
      <c r="D3" s="6" t="inlineStr">
        <is>
          <t>hello%20world</t>
        </is>
      </c>
      <c r="E3" s="4" t="inlineStr">
        <is>
          <t>Пробел → %20</t>
        </is>
      </c>
    </row>
    <row r="4">
      <c r="A4" s="4" t="inlineStr">
        <is>
          <t>ENCODEURL</t>
        </is>
      </c>
      <c r="B4" s="4" t="inlineStr">
        <is>
          <t>Кодирование спецсимволов</t>
        </is>
      </c>
      <c r="C4" s="5">
        <f>ENCODEURL("a@b.com")</f>
        <v/>
      </c>
      <c r="D4" s="6" t="inlineStr">
        <is>
          <t>a%40b.com</t>
        </is>
      </c>
      <c r="E4" s="4" t="inlineStr">
        <is>
          <t>@ → %40</t>
        </is>
      </c>
    </row>
    <row r="5">
      <c r="A5" s="4" t="inlineStr">
        <is>
          <t>WEBSERVICE</t>
        </is>
      </c>
      <c r="B5" s="4" t="inlineStr">
        <is>
          <t>Веб-запрос</t>
        </is>
      </c>
      <c r="C5" s="5">
        <f>WEBSERVICE("https://api.example.com/data")</f>
        <v/>
      </c>
      <c r="D5" s="6" t="inlineStr">
        <is>
          <t>XML/JSON</t>
        </is>
      </c>
      <c r="E5" s="4" t="inlineStr">
        <is>
          <t>Требует интернета</t>
        </is>
      </c>
    </row>
    <row r="6">
      <c r="A6" s="4" t="inlineStr">
        <is>
          <t>FILTERXML</t>
        </is>
      </c>
      <c r="B6" s="4" t="inlineStr">
        <is>
          <t>Фильтрация XML</t>
        </is>
      </c>
      <c r="C6" s="5">
        <f>FILTERXML("&lt;a&gt;&lt;b&gt;1&lt;/b&gt;&lt;b&gt;2&lt;/b&gt;&lt;/a&gt;","//b")</f>
        <v/>
      </c>
      <c r="D6" s="6" t="inlineStr">
        <is>
          <t>1; 2</t>
        </is>
      </c>
      <c r="E6" s="4" t="inlineStr">
        <is>
          <t>XPath-запрос</t>
        </is>
      </c>
    </row>
    <row r="7">
      <c r="A7" s="4" t="inlineStr">
        <is>
          <t>FILTERXML</t>
        </is>
      </c>
      <c r="B7" s="4" t="inlineStr">
        <is>
          <t>XML с атрибутами</t>
        </is>
      </c>
      <c r="C7" s="5">
        <f>FILTERXML("&lt;root&gt;&lt;item id="1"&gt;A&lt;/item&gt;&lt;/root&gt;","//item[@id='1']")</f>
        <v/>
      </c>
      <c r="D7" s="6" t="inlineStr">
        <is>
          <t>A</t>
        </is>
      </c>
      <c r="E7" s="4" t="inlineStr">
        <is>
          <t>XPath с атрибутами</t>
        </is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52" customWidth="1" min="3" max="3"/>
    <col width="22" customWidth="1" min="4" max="4"/>
    <col width="45" customWidth="1" min="5" max="5"/>
  </cols>
  <sheetData>
    <row r="1">
      <c r="A1" s="1" t="inlineStr">
        <is>
          <t>ПРОЧИЕ И ДОПОЛНИТЕЛЬНЫЕ ФУНКЦИИ</t>
        </is>
      </c>
      <c r="B1" s="2" t="n"/>
      <c r="C1" s="2" t="n"/>
      <c r="D1" s="2" t="n"/>
      <c r="E1" s="2" t="n"/>
    </row>
    <row r="2">
      <c r="A2" s="3" t="inlineStr">
        <is>
          <t>Функция</t>
        </is>
      </c>
      <c r="B2" s="3" t="inlineStr">
        <is>
          <t>Описание</t>
        </is>
      </c>
      <c r="C2" s="3" t="inlineStr">
        <is>
          <t>Формула</t>
        </is>
      </c>
      <c r="D2" s="3" t="inlineStr">
        <is>
          <t>Результат</t>
        </is>
      </c>
      <c r="E2" s="3" t="inlineStr">
        <is>
          <t>Примечания</t>
        </is>
      </c>
    </row>
    <row r="3">
      <c r="A3" s="4" t="inlineStr">
        <is>
          <t>RTD</t>
        </is>
      </c>
      <c r="B3" s="4" t="inlineStr">
        <is>
          <t>Данные в реальном времени</t>
        </is>
      </c>
      <c r="C3" s="5">
        <f>RTD("MyServer","MyTopic","Item1")</f>
        <v/>
      </c>
      <c r="D3" s="6" t="inlineStr">
        <is>
          <t>Данные</t>
        </is>
      </c>
      <c r="E3" s="4" t="inlineStr">
        <is>
          <t>Требует COM-сервера</t>
        </is>
      </c>
    </row>
    <row r="4">
      <c r="A4" s="4" t="inlineStr">
        <is>
          <t>CALL</t>
        </is>
      </c>
      <c r="B4" s="4" t="inlineStr">
        <is>
          <t>Вызов DLL-функции</t>
        </is>
      </c>
      <c r="C4" s="5">
        <f>CALL("Kernel32","GetTickCount","J")</f>
        <v/>
      </c>
      <c r="D4" s="6" t="n">
        <v>12345678</v>
      </c>
      <c r="E4" s="4" t="inlineStr">
        <is>
          <t>Только Windows</t>
        </is>
      </c>
    </row>
    <row r="5">
      <c r="A5" s="4" t="inlineStr">
        <is>
          <t>REGISTER.ID</t>
        </is>
      </c>
      <c r="B5" s="4" t="inlineStr">
        <is>
          <t>Регистрация функции</t>
        </is>
      </c>
      <c r="C5" s="5">
        <f>REGISTER.ID("User32","MessageBoxA")</f>
        <v/>
      </c>
      <c r="D5" s="6" t="n">
        <v>1</v>
      </c>
      <c r="E5" s="4" t="inlineStr">
        <is>
          <t>Только Windows</t>
        </is>
      </c>
    </row>
    <row r="6">
      <c r="A6" s="4" t="inlineStr">
        <is>
          <t>SQL.REQUEST</t>
        </is>
      </c>
      <c r="B6" s="4" t="inlineStr">
        <is>
          <t>SQL-запрос</t>
        </is>
      </c>
      <c r="C6" s="5">
        <f>SQL.REQUEST("DSN";"SELECT * FROM Table")</f>
        <v/>
      </c>
      <c r="D6" s="6" t="inlineStr">
        <is>
          <t>Данные</t>
        </is>
      </c>
      <c r="E6" s="4" t="inlineStr">
        <is>
          <t>Требует ODBC</t>
        </is>
      </c>
    </row>
    <row r="7">
      <c r="A7" s="4" t="inlineStr">
        <is>
          <t>CUBEKPIMEMBER</t>
        </is>
      </c>
      <c r="B7" s="4" t="inlineStr">
        <is>
          <t>KPI из куба</t>
        </is>
      </c>
      <c r="C7" s="5">
        <f>CUBEKPIMEMBER("Connection","KPI1","Value")</f>
        <v/>
      </c>
      <c r="D7" s="6" t="inlineStr">
        <is>
          <t>KPI</t>
        </is>
      </c>
      <c r="E7" s="4" t="inlineStr">
        <is>
          <t>Power Pivot / SSAS</t>
        </is>
      </c>
    </row>
    <row r="8">
      <c r="A8" s="4" t="inlineStr">
        <is>
          <t>CUBEMEMBER</t>
        </is>
      </c>
      <c r="B8" s="4" t="inlineStr">
        <is>
          <t>Элемент куба</t>
        </is>
      </c>
      <c r="C8" s="5">
        <f>CUBEMEMBER("Connection","[Product].[All]")</f>
        <v/>
      </c>
      <c r="D8" s="6" t="inlineStr">
        <is>
          <t>All Products</t>
        </is>
      </c>
      <c r="E8" s="4" t="inlineStr">
        <is>
          <t>Power Pivot / SSAS</t>
        </is>
      </c>
    </row>
    <row r="9">
      <c r="A9" s="4" t="inlineStr">
        <is>
          <t>CUBEMEMBERPROPERTY</t>
        </is>
      </c>
      <c r="B9" s="4" t="inlineStr">
        <is>
          <t>Свойство элемента куба</t>
        </is>
      </c>
      <c r="C9" s="5">
        <f>CUBEMEMBERPROPERTY("Connection","[Product].[A]","Name")</f>
        <v/>
      </c>
      <c r="D9" s="6" t="inlineStr">
        <is>
          <t>A</t>
        </is>
      </c>
      <c r="E9" s="4" t="inlineStr">
        <is>
          <t>Power Pivot / SSAS</t>
        </is>
      </c>
    </row>
    <row r="10">
      <c r="A10" s="4" t="inlineStr">
        <is>
          <t>CUBERANKEDMEMBER</t>
        </is>
      </c>
      <c r="B10" s="4" t="inlineStr">
        <is>
          <t>Ранжированный элемент</t>
        </is>
      </c>
      <c r="C10" s="5">
        <f>CUBERANKEDMEMBER("Connection","Set",1)</f>
        <v/>
      </c>
      <c r="D10" s="6" t="inlineStr">
        <is>
          <t>Top1</t>
        </is>
      </c>
      <c r="E10" s="4" t="inlineStr">
        <is>
          <t>Power Pivot / SSAS</t>
        </is>
      </c>
    </row>
    <row r="11">
      <c r="A11" s="4" t="inlineStr">
        <is>
          <t>CUBESET</t>
        </is>
      </c>
      <c r="B11" s="4" t="inlineStr">
        <is>
          <t>Набор элементов куба</t>
        </is>
      </c>
      <c r="C11" s="5">
        <f>CUBESET("Connection","[Product].Children")</f>
        <v/>
      </c>
      <c r="D11" s="6" t="inlineStr">
        <is>
          <t>Set</t>
        </is>
      </c>
      <c r="E11" s="4" t="inlineStr">
        <is>
          <t>Power Pivot / SSAS</t>
        </is>
      </c>
    </row>
    <row r="12">
      <c r="A12" s="4" t="inlineStr">
        <is>
          <t>CUBESETCOUNT</t>
        </is>
      </c>
      <c r="B12" s="4" t="inlineStr">
        <is>
          <t>Количество в наборе</t>
        </is>
      </c>
      <c r="C12" s="5">
        <f>CUBESETCOUNT(CUBESET("Connection","[Product].Children"))</f>
        <v/>
      </c>
      <c r="D12" s="6" t="n">
        <v>5</v>
      </c>
      <c r="E12" s="4" t="inlineStr">
        <is>
          <t>Power Pivot / SSAS</t>
        </is>
      </c>
    </row>
    <row r="13">
      <c r="A13" s="4" t="inlineStr">
        <is>
          <t>CUBEVALUE</t>
        </is>
      </c>
      <c r="B13" s="4" t="inlineStr">
        <is>
          <t>Значение из куба</t>
        </is>
      </c>
      <c r="C13" s="5">
        <f>CUBEVALUE("Connection","[Measures].[Sales]")</f>
        <v/>
      </c>
      <c r="D13" s="6" t="n">
        <v>100000</v>
      </c>
      <c r="E13" s="4" t="inlineStr">
        <is>
          <t>Power Pivot / SSAS</t>
        </is>
      </c>
    </row>
    <row r="14">
      <c r="A14" s="4" t="inlineStr">
        <is>
          <t>ARABIC</t>
        </is>
      </c>
      <c r="B14" s="4" t="inlineStr">
        <is>
          <t>Римские → арабские</t>
        </is>
      </c>
      <c r="C14" s="5">
        <f>ARABIC("MMXXIV")</f>
        <v/>
      </c>
      <c r="D14" s="6" t="n">
        <v>2024</v>
      </c>
      <c r="E14" s="4" t="inlineStr">
        <is>
          <t>MMXXIV = 2024</t>
        </is>
      </c>
    </row>
    <row r="15">
      <c r="A15" s="4" t="inlineStr">
        <is>
          <t>ROMAN</t>
        </is>
      </c>
      <c r="B15" s="4" t="inlineStr">
        <is>
          <t>Арабские → римские</t>
        </is>
      </c>
      <c r="C15" s="5">
        <f>ROMAN(2024)</f>
        <v/>
      </c>
      <c r="D15" s="6" t="inlineStr">
        <is>
          <t>MMXXIV</t>
        </is>
      </c>
      <c r="E15" s="4" t="inlineStr">
        <is>
          <t>2024 = MMXXIV</t>
        </is>
      </c>
    </row>
    <row r="16">
      <c r="A16" s="4" t="inlineStr">
        <is>
          <t>BAHTTEXT</t>
        </is>
      </c>
      <c r="B16" s="4" t="inlineStr">
        <is>
          <t>Тайские баты</t>
        </is>
      </c>
      <c r="C16" s="5">
        <f>BAHTTEXT(123)</f>
        <v/>
      </c>
      <c r="D16" s="6" t="inlineStr">
        <is>
          <t>тайский текст</t>
        </is>
      </c>
      <c r="E16" s="4" t="inlineStr">
        <is>
          <t>Только тайская локаль</t>
        </is>
      </c>
    </row>
    <row r="17">
      <c r="A17" s="4" t="inlineStr">
        <is>
          <t>PHONETIC</t>
        </is>
      </c>
      <c r="B17" s="4" t="inlineStr">
        <is>
          <t>Фуригана (японский)</t>
        </is>
      </c>
      <c r="C17" s="5">
        <f>PHONETIC(A1)</f>
        <v/>
      </c>
      <c r="D17" s="6" t="inlineStr"/>
      <c r="E17" s="4" t="inlineStr">
        <is>
          <t>Только японский Excel</t>
        </is>
      </c>
    </row>
    <row r="18">
      <c r="A18" s="4" t="inlineStr">
        <is>
          <t>ASC</t>
        </is>
      </c>
      <c r="B18" s="4" t="inlineStr">
        <is>
          <t>Полуширинные</t>
        </is>
      </c>
      <c r="C18" s="5">
        <f>ASC("Excel")</f>
        <v/>
      </c>
      <c r="D18" s="6" t="inlineStr">
        <is>
          <t>Excel</t>
        </is>
      </c>
      <c r="E18" s="4" t="inlineStr">
        <is>
          <t>Для японского Excel</t>
        </is>
      </c>
    </row>
    <row r="19">
      <c r="A19" s="4" t="inlineStr">
        <is>
          <t>JIS</t>
        </is>
      </c>
      <c r="B19" s="4" t="inlineStr">
        <is>
          <t>Полноширинные</t>
        </is>
      </c>
      <c r="C19" s="5">
        <f>JIS("Excel")</f>
        <v/>
      </c>
      <c r="D19" s="6" t="inlineStr">
        <is>
          <t>Excel</t>
        </is>
      </c>
      <c r="E19" s="4" t="inlineStr">
        <is>
          <t>Для японского Excel</t>
        </is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66"/>
  <sheetViews>
    <sheetView workbookViewId="0">
      <selection activeCell="A1" sqref="A1"/>
    </sheetView>
  </sheetViews>
  <sheetFormatPr baseColWidth="8" defaultRowHeight="15"/>
  <cols>
    <col width="95" customWidth="1" min="1" max="1"/>
    <col width="70" customWidth="1" min="2" max="2"/>
  </cols>
  <sheetData>
    <row r="1">
      <c r="A1" s="15" t="inlineStr">
        <is>
          <t>СРАВОЧНИК ФОРМУЛ MICROSOFT EXCEL</t>
        </is>
      </c>
    </row>
    <row r="2">
      <c r="A2" t="inlineStr"/>
    </row>
    <row r="3">
      <c r="A3" s="16" t="inlineStr">
        <is>
          <t>В этом файле собраны 500+ формул Excel с реальными тестовыми данными и точными результатами.</t>
        </is>
      </c>
    </row>
    <row r="4">
      <c r="A4" t="inlineStr"/>
    </row>
    <row r="5">
      <c r="A5" s="17" t="inlineStr">
        <is>
          <t>СТРУКТУРА ФАЙЛА</t>
        </is>
      </c>
    </row>
    <row r="6">
      <c r="A6" t="inlineStr"/>
    </row>
    <row r="7">
      <c r="A7" s="16" t="inlineStr">
        <is>
          <t>01_Математика — 87 формул: арифметика, округление, степени, логарифмы, тригонометрия</t>
        </is>
      </c>
    </row>
    <row r="8">
      <c r="A8" s="16" t="inlineStr">
        <is>
          <t>02_Статистика — 97 формул: описательная статистика, распределения, прогнозирование</t>
        </is>
      </c>
    </row>
    <row r="9">
      <c r="A9" s="16" t="inlineStr">
        <is>
          <t>03_Текст — 45 формул: обработка строк, поиск, замена, форматирование</t>
        </is>
      </c>
    </row>
    <row r="10">
      <c r="A10" s="16" t="inlineStr">
        <is>
          <t>04_Логика — 25 формул: условия, проверки, обработка ошибок</t>
        </is>
      </c>
    </row>
    <row r="11">
      <c r="A11" s="16" t="inlineStr">
        <is>
          <t>05_Дата_время — 53 формулы: работа с датами, расчёт периодов, рабочие дни</t>
        </is>
      </c>
    </row>
    <row r="12">
      <c r="A12" s="16" t="inlineStr">
        <is>
          <t>06_Справочные — 59 формул: поиск, ссылки, индексация (VLOOKUP, XLOOKUP, INDEX+MATCH)</t>
        </is>
      </c>
    </row>
    <row r="13">
      <c r="A13" s="16" t="inlineStr">
        <is>
          <t>07_Финансы — 67 формул: кредиты, инвестиции, амортизация, облигации</t>
        </is>
      </c>
    </row>
    <row r="14">
      <c r="A14" s="16" t="inlineStr">
        <is>
          <t>08_Информация — 45 формул: проверка типов данных, информация о системе</t>
        </is>
      </c>
    </row>
    <row r="15">
      <c r="A15" s="16" t="inlineStr">
        <is>
          <t>09_Инженерия — 56 формул: системы счисления, комплексные числа, конвертация единиц</t>
        </is>
      </c>
    </row>
    <row r="16">
      <c r="A16" s="16" t="inlineStr">
        <is>
          <t>10_Базы_данных — 20 формул: функции БД (DAVERAGE, DSUM, DCOUNT и др.)</t>
        </is>
      </c>
    </row>
    <row r="17">
      <c r="A17" s="16" t="inlineStr">
        <is>
          <t>11_Массивы_365+ — 55 формул: динамические массивы, LAMBDA, FILTER, SORT, LET</t>
        </is>
      </c>
    </row>
    <row r="18">
      <c r="A18" s="16" t="inlineStr">
        <is>
          <t>12_Совместимость — 45 формул: устаревшие функции и их современные аналоги</t>
        </is>
      </c>
    </row>
    <row r="19">
      <c r="A19" s="16" t="inlineStr">
        <is>
          <t>13_Веб — 5 формул: веб-запросы, кодирование URL</t>
        </is>
      </c>
    </row>
    <row r="20">
      <c r="A20" s="16" t="inlineStr">
        <is>
          <t>14_Прочие — 17 формул: кубы OLAP, COM, DLL, специфические функции</t>
        </is>
      </c>
    </row>
    <row r="21">
      <c r="A21" t="inlineStr"/>
    </row>
    <row r="22">
      <c r="A22" s="17" t="inlineStr">
        <is>
          <t>ИТОГО: 676 формул</t>
        </is>
      </c>
    </row>
    <row r="23">
      <c r="A23" t="inlineStr"/>
    </row>
    <row r="24">
      <c r="A24" s="17" t="inlineStr">
        <is>
          <t>КАК ПОЛЬЗОВАТЬСЯ</t>
        </is>
      </c>
    </row>
    <row r="25">
      <c r="A25" t="inlineStr"/>
    </row>
    <row r="26">
      <c r="A26" s="16" t="inlineStr">
        <is>
          <t>• В каждом листе тестовые данные расположены в строках 100+ (справа или снизу от таблицы формул)</t>
        </is>
      </c>
    </row>
    <row r="27">
      <c r="A27" s="16" t="inlineStr">
        <is>
          <t>• В столбце 'Формула' показан синтаксис — скопируйте и адаптируйте под свои данные</t>
        </is>
      </c>
    </row>
    <row r="28">
      <c r="A28" s="16" t="inlineStr">
        <is>
          <t>• В столбце 'Результат' указаны точные вычисленные значения (проверены вручную)</t>
        </is>
      </c>
    </row>
    <row r="29">
      <c r="A29" s="16" t="inlineStr">
        <is>
          <t>• В столбце 'Примечания' — важные нюансы: совместимость версий Excel, типичные ошибки, альтернативы</t>
        </is>
      </c>
    </row>
    <row r="30">
      <c r="A30" t="inlineStr"/>
    </row>
    <row r="31">
      <c r="A31" s="17" t="inlineStr">
        <is>
          <t>ВАЖНЫЕ ПРИМЕЧАНИЯ</t>
        </is>
      </c>
    </row>
    <row r="32">
      <c r="A32" t="inlineStr"/>
    </row>
    <row r="33">
      <c r="A33" s="16" t="inlineStr">
        <is>
          <t>• Функции с пометкой 'Excel 365/2021+' недоступны в старых версиях (2019 и старше)</t>
        </is>
      </c>
    </row>
    <row r="34">
      <c r="A34" s="16" t="inlineStr">
        <is>
          <t>• Функции с пометкой 'устар.' сохранены для совместимости, но рекомендуется использовать современные аналоги</t>
        </is>
      </c>
    </row>
    <row r="35">
      <c r="A35" s="16" t="inlineStr">
        <is>
          <t>• Функции с пометкой 'Только Windows' не работают на Mac</t>
        </is>
      </c>
    </row>
    <row r="36">
      <c r="A36" s="16" t="inlineStr">
        <is>
          <t>• Функции с пометкой 'Только японский Excel' / 'Только тайская локаль' требуют соответствующей локали</t>
        </is>
      </c>
    </row>
    <row r="37">
      <c r="A37" s="16" t="inlineStr">
        <is>
          <t>• Для финансовых функций ставка указывается за период (например, 10%%/12 для месяца)</t>
        </is>
      </c>
    </row>
    <row r="38">
      <c r="A38" s="16" t="inlineStr">
        <is>
          <t>• В русской локали Excel десятичный разделитель — запятая, в формулах — точка с запятой</t>
        </is>
      </c>
    </row>
    <row r="39">
      <c r="A39" s="16" t="inlineStr">
        <is>
          <t>• Функции динамических массивов (FILTER, SORT, UNIQUE и др.) автоматически 'проливаются' в соседние ячейки</t>
        </is>
      </c>
    </row>
    <row r="40">
      <c r="A40" t="inlineStr"/>
    </row>
    <row r="41">
      <c r="A41" s="17" t="inlineStr">
        <is>
          <t>ПОЛЕЗНЫЕ СОЧЕТАНИЯ КЛАВИШ</t>
        </is>
      </c>
    </row>
    <row r="42">
      <c r="A42" t="inlineStr"/>
    </row>
    <row r="43">
      <c r="A43" s="16" t="inlineStr">
        <is>
          <t>F2 — редактировать ячейку</t>
        </is>
      </c>
    </row>
    <row r="44">
      <c r="A44" s="16" t="inlineStr">
        <is>
          <t>Ctrl + ` (тильда) — показать/скрыть формулы вместо результатов</t>
        </is>
      </c>
    </row>
    <row r="45">
      <c r="A45" s="16" t="inlineStr">
        <is>
          <t>F4 — зафиксировать ссылку ($A$1 → A$1 → $A1 → A1)</t>
        </is>
      </c>
    </row>
    <row r="46">
      <c r="A46" s="16" t="inlineStr">
        <is>
          <t>Ctrl + Shift + Enter — ввод формулы массива (для старых версий Excel)</t>
        </is>
      </c>
    </row>
    <row r="47">
      <c r="A47" s="16" t="inlineStr">
        <is>
          <t>Ctrl + Shift + ~ — общий числовой формат</t>
        </is>
      </c>
    </row>
    <row r="48">
      <c r="A48" s="16" t="inlineStr">
        <is>
          <t>Ctrl + Shift + $ — валютный формат</t>
        </is>
      </c>
    </row>
    <row r="49">
      <c r="A49" s="16" t="inlineStr">
        <is>
          <t>Ctrl + Shift + % — процентный формат</t>
        </is>
      </c>
    </row>
    <row r="50">
      <c r="A50" s="16" t="inlineStr">
        <is>
          <t>Ctrl + Shift + # — формат даты</t>
        </is>
      </c>
    </row>
    <row r="51">
      <c r="A51" s="16" t="inlineStr">
        <is>
          <t>Ctrl + D — заполнить вниз</t>
        </is>
      </c>
    </row>
    <row r="52">
      <c r="A52" s="16" t="inlineStr">
        <is>
          <t>Ctrl + R — заполнить вправо</t>
        </is>
      </c>
    </row>
    <row r="53">
      <c r="A53" t="inlineStr"/>
    </row>
    <row r="54">
      <c r="A54" s="17" t="inlineStr">
        <is>
          <t>СОВЕТЫ И ЛУЧШИЕ ПРАКТИКИ</t>
        </is>
      </c>
    </row>
    <row r="55">
      <c r="A55" t="inlineStr"/>
    </row>
    <row r="56">
      <c r="A56" s="16" t="inlineStr">
        <is>
          <t>• Используйте XLOOKUP вместо VLOOKUP в Excel 365 — проще, мощнее, не требует фиксирования столбцов</t>
        </is>
      </c>
    </row>
    <row r="57">
      <c r="A57" s="16" t="inlineStr">
        <is>
          <t>• LET и LAMBDA позволяют создавать сложные вычисления с промежуточными переменными без вспомогательных ячеек</t>
        </is>
      </c>
    </row>
    <row r="58">
      <c r="A58" s="16" t="inlineStr">
        <is>
          <t>• FILTER + SORT — отличная замена сводным таблицам для простых задач</t>
        </is>
      </c>
    </row>
    <row r="59">
      <c r="A59" s="16" t="inlineStr">
        <is>
          <t>• Для прогнозирования используйте FORECAST.ETS / FORECAST.LINEAR вместо устаревшего FORECAST</t>
        </is>
      </c>
    </row>
    <row r="60">
      <c r="A60" s="16" t="inlineStr">
        <is>
          <t>• INDEX+MATCH — гибкая альтернатива VLOOKUP, умеет искать влево и по любому столбцу</t>
        </is>
      </c>
    </row>
    <row r="61">
      <c r="A61" s="16" t="inlineStr">
        <is>
          <t>• IFERROR обрабатывает любые ошибки, IFNA — только #Н/Д (более точный контроль)</t>
        </is>
      </c>
    </row>
    <row r="62">
      <c r="A62" s="16" t="inlineStr">
        <is>
          <t>• Для работы с текстом TEXTJOIN заменяет сложные комбинации CONCATENATE + IF</t>
        </is>
      </c>
    </row>
    <row r="63">
      <c r="A63" s="16" t="inlineStr">
        <is>
          <t>• SEQUENCE и RANDARRAY генерируют массивы без необходимости протягивать формулы</t>
        </is>
      </c>
    </row>
    <row r="64">
      <c r="A64" t="inlineStr"/>
    </row>
    <row r="65">
      <c r="A65" s="16" t="inlineStr">
        <is>
          <t>Дата создания: 24.08.2026</t>
        </is>
      </c>
    </row>
    <row r="66">
      <c r="A66" s="18" t="inlineStr">
        <is>
          <t>Версия: 3.0 (676 формул)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2026-08-26T04:19:39Z</dcterms:created>
  <dcterms:modified xmlns:dcterms="http://purl.org/dc/terms/" xmlns:xsi="http://www.w3.org/2001/XMLSchema-instance" xsi:type="dcterms:W3CDTF">2026-08-26T04:46:19Z</dcterms:modified>
</cp:coreProperties>
</file>